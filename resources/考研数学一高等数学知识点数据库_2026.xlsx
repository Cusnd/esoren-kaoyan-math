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uso\Desktop\"/>
    </mc:Choice>
  </mc:AlternateContent>
  <xr:revisionPtr revIDLastSave="0" documentId="13_ncr:1_{72E7BC5F-FD47-43DC-B730-DF29D8C195C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使用说明" sheetId="1" r:id="rId1"/>
    <sheet name="知识点总表" sheetId="2" r:id="rId2"/>
    <sheet name="题型方法库" sheetId="3" r:id="rId3"/>
    <sheet name="考频分析" sheetId="4" r:id="rId4"/>
    <sheet name="年度真题标签" sheetId="5" r:id="rId5"/>
    <sheet name="易混淆对比" sheetId="6" r:id="rId6"/>
    <sheet name="复习阶段" sheetId="7" r:id="rId7"/>
    <sheet name="查漏清单" sheetId="8" r:id="rId8"/>
    <sheet name="来源与边界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B17" i="1"/>
  <c r="E16" i="1"/>
  <c r="B16" i="1"/>
  <c r="E15" i="1"/>
  <c r="B15" i="1"/>
  <c r="E14" i="1"/>
  <c r="B14" i="1"/>
  <c r="E13" i="1"/>
  <c r="B13" i="1"/>
  <c r="B8" i="1"/>
  <c r="B7" i="1"/>
  <c r="B9" i="1" s="1"/>
  <c r="B6" i="1"/>
  <c r="B5" i="1"/>
</calcChain>
</file>

<file path=xl/sharedStrings.xml><?xml version="1.0" encoding="utf-8"?>
<sst xmlns="http://schemas.openxmlformats.org/spreadsheetml/2006/main" count="9216" uniqueCount="4507">
  <si>
    <t>考研数学一·高等数学知识点数据库（2026研究版）</t>
  </si>
  <si>
    <t>主样本：2010—2026共17套；官方8模块、教学10章、262个原子点、51类题型。频率与重要度为研究性编码，不是官方统计。</t>
  </si>
  <si>
    <t>核心指标</t>
  </si>
  <si>
    <t>当前值</t>
  </si>
  <si>
    <t>使用顺序</t>
  </si>
  <si>
    <t>原子知识点总数</t>
  </si>
  <si>
    <t>① 在“知识点总表”按重要度、层级、口径筛选；
② 在“查漏清单”维护学习状态、复盘次数与日期；
③ 用“题型方法库”训练识别信号和标准流程；
④ 真题阶段查看“年度真题标签”和“考频分析”；
⑤ 每周抽查“易混淆对比”，冲刺时回到S/A未稳点。</t>
  </si>
  <si>
    <t>S/A核心点数</t>
  </si>
  <si>
    <t>已掌握点数</t>
  </si>
  <si>
    <t>需复盘点数</t>
  </si>
  <si>
    <t>完成率</t>
  </si>
  <si>
    <t>重要度</t>
  </si>
  <si>
    <t>知识点数</t>
  </si>
  <si>
    <t>教学章</t>
  </si>
  <si>
    <t>S</t>
  </si>
  <si>
    <t>第一章 函数基础</t>
  </si>
  <si>
    <t>A</t>
  </si>
  <si>
    <t>第二章 极限与连续</t>
  </si>
  <si>
    <t>B</t>
  </si>
  <si>
    <t>第三章 一元函数微分学</t>
  </si>
  <si>
    <t>C</t>
  </si>
  <si>
    <t>第四章 一元函数积分学</t>
  </si>
  <si>
    <t>D</t>
  </si>
  <si>
    <t>第五章 向量代数与空间解析几何</t>
  </si>
  <si>
    <t>第六章 多元函数微分学</t>
  </si>
  <si>
    <t>第七章 重积分</t>
  </si>
  <si>
    <t>研究口径提醒</t>
  </si>
  <si>
    <t>第八章 曲线积分、曲面积分与向量场</t>
  </si>
  <si>
    <t>• “官方明确”来自大纲条文；“真题隐含”是完成真题所需但大纲未逐项列名的方法。
• “x—y/17”是对2010—2026真题做多标签编码后的近似区间；一道综合题可计入多个专题。
• 2022公开归档的机读质量较弱，本数据库不对该年做过细次数宣称。
• 低频不等于删除；曲率、Fourier、Stokes、Euler等仍应掌握标准题。
• 详细论证、知识依赖图和三份目标清单见配套Markdown研究报告。</t>
  </si>
  <si>
    <t>第九章 无穷级数</t>
  </si>
  <si>
    <t>第十章 常微分方程</t>
  </si>
  <si>
    <t>完整知识点总表（262项）</t>
  </si>
  <si>
    <t>可按教学章、官方模块、专题、A/B/C层级、口径、重要度、频率与趋势筛选。最后两列供个人维护。</t>
  </si>
  <si>
    <t>编号</t>
  </si>
  <si>
    <t>官方模块</t>
  </si>
  <si>
    <t>专题</t>
  </si>
  <si>
    <t>知识点</t>
  </si>
  <si>
    <t>子知识点/必会动作</t>
  </si>
  <si>
    <t>层级</t>
  </si>
  <si>
    <t>口径</t>
  </si>
  <si>
    <t>大纲要求</t>
  </si>
  <si>
    <t>定义/公式/结论</t>
  </si>
  <si>
    <t>适用条件</t>
  </si>
  <si>
    <t>常见直接题型</t>
  </si>
  <si>
    <t>综合方向</t>
  </si>
  <si>
    <t>识别信号</t>
  </si>
  <si>
    <t>易错点</t>
  </si>
  <si>
    <t>前置知识</t>
  </si>
  <si>
    <t>典型真题年份</t>
  </si>
  <si>
    <t>历年频率</t>
  </si>
  <si>
    <t>趋势</t>
  </si>
  <si>
    <t>推荐掌握程度</t>
  </si>
  <si>
    <t>学习状态</t>
  </si>
  <si>
    <t>个人笔记</t>
  </si>
  <si>
    <t>K015</t>
  </si>
  <si>
    <t>函数、极限、连续</t>
  </si>
  <si>
    <t>函数图像</t>
  </si>
  <si>
    <t>平移、伸缩、对称与复合图像</t>
  </si>
  <si>
    <t>能由基本图像快速得到 $f(ax+b)$、$af(x)+b$、$|f(x)|$、$f(|x|)$。</t>
  </si>
  <si>
    <t>真题隐含</t>
  </si>
  <si>
    <t>会用</t>
  </si>
  <si>
    <t>横向变换作用在自变量，纵向变换作用在函数值；$f(|x|)$ 由右半图像偶延拓，$|f(x)|$ 将负值翻到上方。</t>
  </si>
  <si>
    <t>变换顺序按表达式层级执行；横向伸缩系数与直觉相反。</t>
  </si>
  <si>
    <t>识图、区域描述、绝对值函数性质。</t>
  </si>
  <si>
    <t>积分区域、单调极值、反函数图像。</t>
  </si>
  <si>
    <t>“图像”“围成区域”“绝对值”</t>
  </si>
  <si>
    <t>把横向平移符号或伸缩倍数写反。</t>
  </si>
  <si>
    <t>基本初等函数图像</t>
  </si>
  <si>
    <t>多年度几何题工具</t>
  </si>
  <si>
    <t>工具型</t>
  </si>
  <si>
    <t>稳定</t>
  </si>
  <si>
    <t>能不描点画出关键零点、渐近线、对称性与单调区间。</t>
  </si>
  <si>
    <t>未开始</t>
  </si>
  <si>
    <t>K004</t>
  </si>
  <si>
    <t>函数性质</t>
  </si>
  <si>
    <t>有界性</t>
  </si>
  <si>
    <t>区分上有界、下有界、有界；会由不等式、单调性、连续性判断。</t>
  </si>
  <si>
    <t>官方明确</t>
  </si>
  <si>
    <t>了解并会判定</t>
  </si>
  <si>
    <t>在 $D$ 上有界指存在 $M&gt;0$ 使 $|f(x)|\le M$；等价于同时上、下有界。</t>
  </si>
  <si>
    <t>有界性必须相对于指定集合；局部有界不等于全局有界。</t>
  </si>
  <si>
    <t>判断函数或数列有界；给出界。</t>
  </si>
  <si>
    <t>单调有界准则、闭区间连续函数、级数部分和。</t>
  </si>
  <si>
    <t>“有界”“存在M”“闭区间”</t>
  </si>
  <si>
    <t>把“每点函数值有限”误作有界；忽略定义域。</t>
  </si>
  <si>
    <t>不等式、绝对值</t>
  </si>
  <si>
    <t>2018、2026等逻辑判断中作为工具</t>
  </si>
  <si>
    <t>工具型高频</t>
  </si>
  <si>
    <t>能构造界或用反例说明无界；理解“存在统一常数”。</t>
  </si>
  <si>
    <t>K005</t>
  </si>
  <si>
    <t>单调性</t>
  </si>
  <si>
    <t>按定义比较函数值；熟练用导数判定；区分严格与非严格单调。</t>
  </si>
  <si>
    <t>$x_1&lt;x_2\Rightarrow f(x_1)\le f(x_2)$ 为单调不减；严格递增用 $&lt;$。</t>
  </si>
  <si>
    <t>必须说明区间；导数 $\ge0$ 只推出不减，严格递增常需排除恒零区间。</t>
  </si>
  <si>
    <t>判断单调区间；由复合关系判断。</t>
  </si>
  <si>
    <t>极限存在、反函数、极值、方程根、不等式。</t>
  </si>
  <si>
    <t>“单调”“唯一根”“反函数”</t>
  </si>
  <si>
    <t>用少数点代替全区间证明；把 $f\prime\ge0$ 直接写成严格增。</t>
  </si>
  <si>
    <t>函数定义、导数</t>
  </si>
  <si>
    <t>几乎每年直接或间接</t>
  </si>
  <si>
    <t>高频</t>
  </si>
  <si>
    <t>能在定义法与导数法之间切换；会处理分段与含参数单调性。</t>
  </si>
  <si>
    <t>K006</t>
  </si>
  <si>
    <t>奇偶性</t>
  </si>
  <si>
    <t>先检查定义域关于原点对称，再比较 $f(-x)$ 与 $f(x)$。</t>
  </si>
  <si>
    <t>了解</t>
  </si>
  <si>
    <t>偶函数：$f(-x)=f(x)$；奇函数：$f(-x)=-f(x)$，前提是定义域关于原点对称。</t>
  </si>
  <si>
    <t>零函数既奇又偶；一般函数可在对称域分解为奇部与偶部。</t>
  </si>
  <si>
    <t>判断奇偶；利用奇偶性化积分。</t>
  </si>
  <si>
    <t>定积分对称性、变上限积分、傅里叶级数。</t>
  </si>
  <si>
    <t>“对称区间”“$f(-x)$”“周期延拓”</t>
  </si>
  <si>
    <t>不检查定义域；把积分上限变化后的奇偶性判断反。</t>
  </si>
  <si>
    <t>函数定义、代数变换</t>
  </si>
  <si>
    <t>2014、2024、2025等</t>
  </si>
  <si>
    <t>中频，工具高频</t>
  </si>
  <si>
    <t>能熟练写出奇偶函数在 $[-a,a]$ 上积分结论，并处理复合奇偶性。</t>
  </si>
  <si>
    <t>K007</t>
  </si>
  <si>
    <t>周期性与最小正周期</t>
  </si>
  <si>
    <t>会判断和、积、复合函数的周期；理解有周期不必有最小正周期。</t>
  </si>
  <si>
    <t>若存在 $T&gt;0$ 使对定义域中一切适用 $x$ 有 $f(x+T)=f(x)$，则 $T$ 为周期。</t>
  </si>
  <si>
    <t>定义域应对平移封闭；两个周期函数之和只有在周期可公度时才能直接取公倍周期。</t>
  </si>
  <si>
    <t>求周期；周期积分；周期函数方程。</t>
  </si>
  <si>
    <t>定积分、傅里叶级数、常系数微分方程。</t>
  </si>
  <si>
    <t>“以T为周期”“在一周期上”</t>
  </si>
  <si>
    <t>把任意公共倍数叫最小周期；忽略无最小正周期的可能。</t>
  </si>
  <si>
    <t>三角函数、数论初步</t>
  </si>
  <si>
    <t>2023、2025等</t>
  </si>
  <si>
    <t>低频，工具型</t>
  </si>
  <si>
    <t>掌握常见三角组合周期与周期积分平移不变性。</t>
  </si>
  <si>
    <t>K008</t>
  </si>
  <si>
    <t>复合函数性质</t>
  </si>
  <si>
    <t>会判断复合函数的奇偶、单调、周期与有界性。</t>
  </si>
  <si>
    <t>复合单调性取决于内外层单调方向；若 $g$ 的值域落入 $f$ 的单调区间，才可组合判断。</t>
  </si>
  <si>
    <t>必须限定内层值域；外层不是全域单调时不能直接套“同增异减”。</t>
  </si>
  <si>
    <t>抽象函数选择题；复合函数单调性。</t>
  </si>
  <si>
    <t>反函数、极限、导数、隐函数。</t>
  </si>
  <si>
    <t>“$f$单调，$g$单调”“$f(g(x))$”</t>
  </si>
  <si>
    <t>忽略内层值域跨越外层不同单调区间。</t>
  </si>
  <si>
    <t>单调性、定义域</t>
  </si>
  <si>
    <t>多年度工具</t>
  </si>
  <si>
    <t>能写出链式判断条件，不用口诀替代逻辑。</t>
  </si>
  <si>
    <t>K001</t>
  </si>
  <si>
    <t>函数概念与表示</t>
  </si>
  <si>
    <t>函数与对应关系</t>
  </si>
  <si>
    <t>会从“每个自变量唯一对应函数值”判断是否为函数；区分函数表达式与函数本身。</t>
  </si>
  <si>
    <t>理解</t>
  </si>
  <si>
    <t>函数是定义域 $D$ 到数集的单值映射；相同函数必须定义域相同且对应法则相同。</t>
  </si>
  <si>
    <t>定义域非空；“相同解析式”不必代表相同函数，须同时比较定义域。</t>
  </si>
  <si>
    <t>判断两个函数是否相同；由关系式识别函数。</t>
  </si>
  <si>
    <t>与极限存在、连续性、隐函数结合。</t>
  </si>
  <si>
    <t>“同一表达式”“是否为函数”“函数相同”</t>
  </si>
  <si>
    <t>只比较解析式；忽略定义域或多值关系。</t>
  </si>
  <si>
    <t>集合、初等代数</t>
  </si>
  <si>
    <t>工具性多年度出现</t>
  </si>
  <si>
    <t>能在20秒内写出定义域并说明单值性；对隐式关系先判断局部是否能确定函数。</t>
  </si>
  <si>
    <t>K013</t>
  </si>
  <si>
    <t>基本初等函数</t>
  </si>
  <si>
    <t>指数、对数、幂函数</t>
  </si>
  <si>
    <t>掌握定义域、单调性、图像、基本恒等式及参数影响。</t>
  </si>
  <si>
    <t>掌握</t>
  </si>
  <si>
    <t>$a^x$（$a&gt;0,a\ne1$）、$\log_a x$（$x&gt;0$）；实幂 $x^\alpha$ 的定义域依 $\alpha$ 而异，考研常在正邻域使用 $x^\alpha=e^{\alpha\ln x}$。</t>
  </si>
  <si>
    <t>做对数化时底数与真数须合法；含 $x^x$ 等表达式通常要求 $x&gt;0$ 或局部单侧讨论。</t>
  </si>
  <si>
    <t>图像性质；指数型极限；求导积分。</t>
  </si>
  <si>
    <t>泰勒、幂指函数、微分方程。</t>
  </si>
  <si>
    <t>“$f(x)^{g(x)}$”“取对数”</t>
  </si>
  <si>
    <t>忽略实幂定义域；对负底数直接取对数。</t>
  </si>
  <si>
    <t>初等代数</t>
  </si>
  <si>
    <t>2010、2016、2025等</t>
  </si>
  <si>
    <t>高频，工具型</t>
  </si>
  <si>
    <t>基本公式零犹豫；会用对数把幂指型转为乘积极限。</t>
  </si>
  <si>
    <t>K014</t>
  </si>
  <si>
    <t>三角与反三角函数</t>
  </si>
  <si>
    <t>掌握定义域、值域、周期、奇偶、单调区间和基本恒等变换。</t>
  </si>
  <si>
    <t>熟练使用 $\sin^2x+\cos^2x=1$、和差化积、倍角/半角，以及反三角函数主值范围。</t>
  </si>
  <si>
    <t>反三角函数复合恒等式须检查主值区间；例如 $\arcsin(\sin x)=x$ 仅在主值区间成立。</t>
  </si>
  <si>
    <t>基本计算、积分换元、极限。</t>
  </si>
  <si>
    <t>傅里叶级数、极坐标、参数方程。</t>
  </si>
  <si>
    <t>出现三角有理式、反三角复合</t>
  </si>
  <si>
    <t>把反函数恒等式无条件全域使用；周期判断错误。</t>
  </si>
  <si>
    <t>三角恒等式</t>
  </si>
  <si>
    <t>几乎每年作为工具</t>
  </si>
  <si>
    <t>常用恒等式和主值范围必须记忆；能根据积分结构选代换。</t>
  </si>
  <si>
    <t>K009</t>
  </si>
  <si>
    <t>复合函数与反函数</t>
  </si>
  <si>
    <t>复合函数</t>
  </si>
  <si>
    <t>理解复合层次并正确拆解；会处理多层链式结构。</t>
  </si>
  <si>
    <t>若 $g(D_g)\cap D_f$ 合适，则 $(f\circ g)(x)=f(g(x))$。</t>
  </si>
  <si>
    <t>定义域由复合约束决定；复合一般不满足交换律。</t>
  </si>
  <si>
    <t>拆分复合层；求值或求导前识别内外层。</t>
  </si>
  <si>
    <t>复合求导、多元链式法则、幂级数复合展开。</t>
  </si>
  <si>
    <t>嵌套函数、指数对数套层</t>
  </si>
  <si>
    <t>把 $f(g(x))$ 与 $g(f(x))$ 混同；漏定义域。</t>
  </si>
  <si>
    <t>函数定义域</t>
  </si>
  <si>
    <t>所有年度均为工具</t>
  </si>
  <si>
    <t>看到表达式能立即画出运算树并标出每层变量。</t>
  </si>
  <si>
    <t>K010</t>
  </si>
  <si>
    <t>反函数存在性与性质</t>
  </si>
  <si>
    <t>会用严格单调保证反函数；掌握图像关于 $y=x$ 对称。</t>
  </si>
  <si>
    <t>一一映射才有反函数；区间上严格单调的连续函数必为一一映射，$D_{f^{-1}}=R_f$。</t>
  </si>
  <si>
    <t>反函数值域与原函数定义域互换；$f^{-1}(x)$ 不是 $1/f(x)$。</t>
  </si>
  <si>
    <t>求反函数；判断反函数定义域、单调性。</t>
  </si>
  <si>
    <t>反函数求导、隐函数、变量替换。</t>
  </si>
  <si>
    <t>“反函数”“一一对应”“严格单调”</t>
  </si>
  <si>
    <t>把倒数当反函数；不交换定义域和值域。</t>
  </si>
  <si>
    <t>单调性、值域</t>
  </si>
  <si>
    <t>中频</t>
  </si>
  <si>
    <t>能在区间限制下求反函数并说明存在条件。</t>
  </si>
  <si>
    <t>K002</t>
  </si>
  <si>
    <t>定义域</t>
  </si>
  <si>
    <t>基本初等函数定义域</t>
  </si>
  <si>
    <t>熟练处理分母非零、偶次根号内非负、对数真数正、反三角函数自变量范围。</t>
  </si>
  <si>
    <t>定义域由所有组成运算共同约束：分母 $\ne0$，偶次根式被开方数 $\ge0$，$\ln u$ 要求 $u&gt;0$，$\arcsin u,\arccos u$ 要求 $|u|\le1$。</t>
  </si>
  <si>
    <t>多个条件取交集；含参数时需讨论可行集是否为空。</t>
  </si>
  <si>
    <t>求函数定义域；含参数定义域。</t>
  </si>
  <si>
    <t>复合函数、极限、积分区间、幂级数收敛域。</t>
  </si>
  <si>
    <t>“定义域”“有意义”“所有实数”</t>
  </si>
  <si>
    <t>把根式条件写成严格大于；忘记对数真数严格为正；漏分母。</t>
  </si>
  <si>
    <t>不等式、集合交集</t>
  </si>
  <si>
    <t>2011、2023等作为基础工具</t>
  </si>
  <si>
    <t>无需试错即可列全约束；能处理绝对值、复合根式和参数。</t>
  </si>
  <si>
    <t>K003</t>
  </si>
  <si>
    <t>复合函数定义域</t>
  </si>
  <si>
    <t>先令内层函数有定义，再要求其值落入外层函数定义域。</t>
  </si>
  <si>
    <t>$f(g(x))$ 的定义域为 $\{x:x\in D_g,\ g(x)\in D_f\}$。</t>
  </si>
  <si>
    <t>不能仅把外层自变量符号机械替换；若题目只给抽象定义域，必须做集合逆像。</t>
  </si>
  <si>
    <t>已知 $D_f,D_g$ 求 $D_{f\circ g}$。</t>
  </si>
  <si>
    <t>与反函数、函数方程、连续性结合。</t>
  </si>
  <si>
    <t>“$f(x)$定义域为…，求$f(g(x))$”</t>
  </si>
  <si>
    <t>只求 $g(x)$ 的定义域；把 $D_f$ 当成 $x$ 的范围。</t>
  </si>
  <si>
    <t>基本定义域、集合</t>
  </si>
  <si>
    <t>多年度选择题工具</t>
  </si>
  <si>
    <t>能用“内层有定义＋内层值属于外层定义域”两行完整作答。</t>
  </si>
  <si>
    <t>K011</t>
  </si>
  <si>
    <t>隐函数与分段函数</t>
  </si>
  <si>
    <t>隐函数概念</t>
  </si>
  <si>
    <t>理解方程 $F(x,y)=0$ 何时局部确定 $y=f(x)$。</t>
  </si>
  <si>
    <t>若在点附近 $F_y\ne0$ 且满足相应连续性条件，方程可局部确定可微函数 $y(x)$。</t>
  </si>
  <si>
    <t>不是所有关系都能全局确定单值函数；隐函数存在定理在多元微分中正式使用。</t>
  </si>
  <si>
    <t>判断局部函数关系；为隐函数求导作准备。</t>
  </si>
  <si>
    <t>隐函数求导、曲线切线、多元极值。</t>
  </si>
  <si>
    <t>“由方程确定”“在点附近”</t>
  </si>
  <si>
    <t>未检查 $F_y\ne0$；把局部结论扩张到全局。</t>
  </si>
  <si>
    <t>偏导数基础（后续）</t>
  </si>
  <si>
    <t>2010、2015、2026等</t>
  </si>
  <si>
    <t>能说明局部存在条件，并区别“求导公式可写”与“函数确实存在”。</t>
  </si>
  <si>
    <t>K012</t>
  </si>
  <si>
    <t>分段函数</t>
  </si>
  <si>
    <t>会分别研究各段，并在分界点用极限、函数值、左右导数拼接。</t>
  </si>
  <si>
    <t>分段函数的性质必须在各段与连接点分别检查；连续需左右极限等于函数值，可导需左右导数相等。</t>
  </si>
  <si>
    <t>分界点可能属于某一段或单独定义；先看定义。</t>
  </si>
  <si>
    <t>求参数使连续/可导；判断极值或拐点。</t>
  </si>
  <si>
    <t>极限、连续、导数定义、中值定理。</t>
  </si>
  <si>
    <t>“分段”“参数a”“在x=0连续/可导”</t>
  </si>
  <si>
    <t>只比较两段表达式值；忘记函数值或左右导数。</t>
  </si>
  <si>
    <t>左右极限</t>
  </si>
  <si>
    <t>2021、2023等</t>
  </si>
  <si>
    <t>能按“左右极限—函数值—左右导数—符号变化”固定流程处理。</t>
  </si>
  <si>
    <t>K024</t>
  </si>
  <si>
    <t>函数极限</t>
  </si>
  <si>
    <t>有限点函数极限的定义</t>
  </si>
  <si>
    <t>理解去心邻域与函数值无关；会写左右极限定义。</t>
  </si>
  <si>
    <t>$\lim_{x\to x_0}f(x)=A$ 指对任意 $\varepsilon&gt;0$，存在 $\delta&gt;0$，当 $0&lt;|x-x_0|&lt;\delta$ 时 $|f(x)-A|&lt;\varepsilon$。</t>
  </si>
  <si>
    <t>不要求 $f(x_0)$ 有定义；只研究去心邻域。</t>
  </si>
  <si>
    <t>定义判断；极限存在与点值关系辨析。</t>
  </si>
  <si>
    <t>连续性、可导性、间断点。</t>
  </si>
  <si>
    <t>“极限存在但函数未定义”“去心邻域”</t>
  </si>
  <si>
    <t>把 $x=x_0$ 包含进极限定义；把极限等同函数值。</t>
  </si>
  <si>
    <t>数列极限量词</t>
  </si>
  <si>
    <t>2023、2025逻辑题等</t>
  </si>
  <si>
    <t>中频，理论高频</t>
  </si>
  <si>
    <t>能用一句话严格区分“极限”“函数值”“连续”。</t>
  </si>
  <si>
    <t>K025</t>
  </si>
  <si>
    <t>左右极限与双侧极限</t>
  </si>
  <si>
    <t>会分别计算并用“左右相等”判断双侧极限。</t>
  </si>
  <si>
    <t>$\lim_{x\to x_0}f(x)$ 存在且等于 $A$ 当且仅当 $f(x_0^-)=f(x_0^+)=A$。</t>
  </si>
  <si>
    <t>端点问题通常只讨论定义域内的单侧连续；趋于无穷无左右之分。</t>
  </si>
  <si>
    <t>分段函数极限；含绝对值、符号函数。</t>
  </si>
  <si>
    <t>连续、可导、变上限积分。</t>
  </si>
  <si>
    <t>“$x\to0$”“分段”“绝对值”</t>
  </si>
  <si>
    <t>只算一侧；左右都发散但方向不同却称极限为无穷。</t>
  </si>
  <si>
    <t>几乎每年工具性</t>
  </si>
  <si>
    <t>遇分段点第一反应拆左右，能判有限极限与无穷极限。</t>
  </si>
  <si>
    <t>K026</t>
  </si>
  <si>
    <t>无穷处与无穷函数极限</t>
  </si>
  <si>
    <t>会处理 $x\to\infty$、$x\to-\infty$ 与 $f(x)\to\infty$ 的定义和运算。</t>
  </si>
  <si>
    <t>理解并会求</t>
  </si>
  <si>
    <t>$x\to\infty$ 描述自变量离开任意有界区间；$f(x)\to\infty$ 表示函数值最终超过任意给定正数。</t>
  </si>
  <si>
    <t>“无穷大”描述趋势，不是实数；$+\infty$ 与 $-\infty$ 方向要区分。</t>
  </si>
  <si>
    <t>有理、根式、指数对数在无穷处极限。</t>
  </si>
  <si>
    <t>渐近线、反常积分、级数。</t>
  </si>
  <si>
    <t>“当x趋于无穷”“无界”</t>
  </si>
  <si>
    <t>把 $\infty$ 当数参与减法；忽略正负无穷方向。</t>
  </si>
  <si>
    <t>增长阶比较</t>
  </si>
  <si>
    <t>各年均有工具性使用</t>
  </si>
  <si>
    <t>熟练比较多项式、指数、对数增长阶，并先做最高阶归一化。</t>
  </si>
  <si>
    <t>K027</t>
  </si>
  <si>
    <t>函数极限四则运算与复合极限</t>
  </si>
  <si>
    <t>会在条件满足时直接代入；识别不能拆分的未定式。</t>
  </si>
  <si>
    <t>有限极限满足四则运算；若 $g(x)\to u_0$ 且 $f$ 在 $u_0$ 连续，则 $f(g(x))\to f(u_0)$。</t>
  </si>
  <si>
    <t>商法则要求分母极限非零；复合换元须保证内层值落在外层定义域且趋近方式合法。</t>
  </si>
  <si>
    <t>直接代入型极限；复合极限。</t>
  </si>
  <si>
    <t>连续性、等价无穷小、泰勒。</t>
  </si>
  <si>
    <t>“代入得非零有限值”</t>
  </si>
  <si>
    <t>对 $0/0$ 强行拆；内层只从一侧趋近却套双侧外极限。</t>
  </si>
  <si>
    <t>初等函数连续性</t>
  </si>
  <si>
    <t>所有年度</t>
  </si>
  <si>
    <t>先判型再选法；能明确哪些步骤依赖连续性。</t>
  </si>
  <si>
    <t>K034</t>
  </si>
  <si>
    <t>基本极限</t>
  </si>
  <si>
    <t>第一重要极限</t>
  </si>
  <si>
    <t>掌握 $\lim_{x\to0}\sin x/x=1$ 及其变形。</t>
  </si>
  <si>
    <t>$\lim_{x\to0}\frac{\sin x}{x}=1$；由此得到 $\tan x/x\to1$、$\arcsin x/x\to1$ 等。</t>
  </si>
  <si>
    <t>角度使用弧度；复合内层须趋0。</t>
  </si>
  <si>
    <t>三角极限、参数极限。</t>
  </si>
  <si>
    <t>等价无穷小、导数公式。</t>
  </si>
  <si>
    <t>“sin(小量)/小量”</t>
  </si>
  <si>
    <t>把角度制代入；分子分母的小量不对应。</t>
  </si>
  <si>
    <t>三角函数</t>
  </si>
  <si>
    <t>多年度</t>
  </si>
  <si>
    <t>能主动凑成标准比并控制其余因子。</t>
  </si>
  <si>
    <t>K035</t>
  </si>
  <si>
    <t>第二重要极限与 $e$</t>
  </si>
  <si>
    <t>掌握 $(1+1/n)^n\to e$、$(1+x)^{1/x}\to e$ 及一般化。</t>
  </si>
  <si>
    <t>若 $u\to0$ 且 $v\to\infty$，并有 $uv\to A$，在底数为正时 $(1+u)^v\to e^A$。</t>
  </si>
  <si>
    <t>底数在邻域内必须为正以定义实幂；一般幂指型应取对数。</t>
  </si>
  <si>
    <t>$1^\infty$ 型极限；参数极限。</t>
  </si>
  <si>
    <t>对数化、泰勒、连续复利模型。</t>
  </si>
  <si>
    <t>“底数→1，指数→∞”</t>
  </si>
  <si>
    <t>只看成 $1^\infty=1$；忽略底数正性；漏掉高阶影响。</t>
  </si>
  <si>
    <t>指数对数</t>
  </si>
  <si>
    <t>能统一用 $v\ln(1+u)$ 处理并判断是否需展开到二阶。</t>
  </si>
  <si>
    <t>K045</t>
  </si>
  <si>
    <t>大纲边界</t>
  </si>
  <si>
    <t>柯西收敛准则与 Stolz 定理</t>
  </si>
  <si>
    <t>知道它们不是现行数学一大纲明确方法，真题优先用大纲内工具。</t>
  </si>
  <si>
    <t>教材外延/通常不考</t>
  </si>
  <si>
    <t>不要求</t>
  </si>
  <si>
    <t>柯西准则、Stolz–Cesàro 可处理部分数列极限，但不在当前数学一高数要求清单中。</t>
  </si>
  <si>
    <t>除非用于自检，不应在规范解答中依赖未列方法替代核心证明。</t>
  </si>
  <si>
    <t>非主流辅助方法。</t>
  </si>
  <si>
    <t>数列极限、级数。</t>
  </si>
  <si>
    <t>“Stolz”“柯西列”</t>
  </si>
  <si>
    <t>把竞赛/竞培方法当必考；不会用单调有界、夹逼或积分估计。</t>
  </si>
  <si>
    <t>数列极限</t>
  </si>
  <si>
    <t>近年未见独立考查</t>
  </si>
  <si>
    <t>D/不要求</t>
  </si>
  <si>
    <t>边缘</t>
  </si>
  <si>
    <t>识别即可；备考时间优先给大纲内极限、泰勒、洛必达与夹逼。</t>
  </si>
  <si>
    <t>K016</t>
  </si>
  <si>
    <t>数列极限的 $\varepsilon$-$N$ 定义</t>
  </si>
  <si>
    <t>能按定义解释“任意精度最终都进入邻域”；会做最基础的定义证明。</t>
  </si>
  <si>
    <t>$a_n\to A$ 指对任意 $\varepsilon&gt;0$，存在 $N$，当 $n&gt;N$ 时有 $|a_n-A|&lt;\varepsilon$。</t>
  </si>
  <si>
    <t>$N$ 可依赖于 $\varepsilon$，但不能依赖于具体的 $n$；“任意”与“存在”的顺序不可交换。</t>
  </si>
  <si>
    <t>按定义证明简单数列极限；否定极限定义。</t>
  </si>
  <si>
    <t>收敛性质、反例构造、选择题逻辑。</t>
  </si>
  <si>
    <t>“按定义”“对任意ε”“存在N”</t>
  </si>
  <si>
    <t>量词顺序错误；把“存在ε”写成“任意ε”。</t>
  </si>
  <si>
    <t>绝对值不等式</t>
  </si>
  <si>
    <t>少量定义型题，长期作为理论基础</t>
  </si>
  <si>
    <t>低频，基础工具</t>
  </si>
  <si>
    <t>能独立证明 $1/n\to0$、$(an+b)/(cn+d)\to a/c$ 等简单例子。</t>
  </si>
  <si>
    <t>K017</t>
  </si>
  <si>
    <t>收敛数列的唯一性</t>
  </si>
  <si>
    <t>理解一个数列不可能收敛到两个不同极限。</t>
  </si>
  <si>
    <t>掌握性质</t>
  </si>
  <si>
    <t>若 $a_n\to A$ 且 $a_n\to B$，则 $A=B$。</t>
  </si>
  <si>
    <t>前提是同一数列在同一指标方向 $n\to\infty$。</t>
  </si>
  <si>
    <t>判断参数；证明极限唯一。</t>
  </si>
  <si>
    <t>递推数列极限方程的候选筛选。</t>
  </si>
  <si>
    <t>“极限存在且等于”</t>
  </si>
  <si>
    <t>由递推方程得到多个根后，误认为都是极限。</t>
  </si>
  <si>
    <t>极限定义</t>
  </si>
  <si>
    <t>会配合单调区间、初值或符号排除伪候选。</t>
  </si>
  <si>
    <t>K018</t>
  </si>
  <si>
    <t>收敛数列有界性与保号性</t>
  </si>
  <si>
    <t>掌握收敛必有界；极限为正时充分靠后项为正。</t>
  </si>
  <si>
    <t>$a_n\to A$ 则 $(a_n)$ 有界；若 $A&gt;0$，则充分大 $n$ 有 $a_n&gt;0$。</t>
  </si>
  <si>
    <t>有界是收敛的必要非充分条件；保号性只保证“最终”，不能保证所有项。</t>
  </si>
  <si>
    <t>判断命题真假；估计分母不为零。</t>
  </si>
  <si>
    <t>极限运算、级数必要条件、递推数列。</t>
  </si>
  <si>
    <t>“收敛必…”“充分大n”</t>
  </si>
  <si>
    <t>把有界当收敛；把最终性质推广到前有限项。</t>
  </si>
  <si>
    <t>2018、2026等逻辑题</t>
  </si>
  <si>
    <t>能随时调用“收敛⇒有界”，也能举 $(-1)^n$ 反驳逆命题。</t>
  </si>
  <si>
    <t>K019</t>
  </si>
  <si>
    <t>子列与聚点判据</t>
  </si>
  <si>
    <t>理解收敛数列任一子列同极限；会用两子列不同极限证明发散。</t>
  </si>
  <si>
    <t>若 $a_n\to A$，则任意子列 $a_{n_k}\to A$；若找到两子列极限不同，则原数列发散。</t>
  </si>
  <si>
    <t>两子列必须指标严格递增且趋于无穷；存在一个收敛子列不能推出原数列收敛。</t>
  </si>
  <si>
    <t>振荡数列判敛；构造反例。</t>
  </si>
  <si>
    <t>函数极限的序列判据、级数部分和。</t>
  </si>
  <si>
    <t>“偶数项/奇数项”“振荡”</t>
  </si>
  <si>
    <t>只看一个子列；把部分项趋势当整体趋势。</t>
  </si>
  <si>
    <t>选择题与反例中偶见</t>
  </si>
  <si>
    <t>低频，反例工具</t>
  </si>
  <si>
    <t>能用偶、奇子列迅速否定极限，并理解其逻辑方向。</t>
  </si>
  <si>
    <t>K020</t>
  </si>
  <si>
    <t>数列极限四则运算</t>
  </si>
  <si>
    <t>熟练处理和差积商与常数倍；商法则先检查分母极限非零。</t>
  </si>
  <si>
    <t>若 $a_n\to A,b_n\to B$，则和、差、积相应收敛；若 $B\ne0$，则 $a_n/b_n\to A/B$。</t>
  </si>
  <si>
    <t>不能对 $0/0$、$\infty/\infty$ 直接分别取极限；无穷大不是普通实数。</t>
  </si>
  <si>
    <t>有理式数列极限；拆分极限。</t>
  </si>
  <si>
    <t>夹逼、等价、递推数列。</t>
  </si>
  <si>
    <t>“各项极限已知”</t>
  </si>
  <si>
    <t>在分母极限为0时套商法则；把不存在的分项极限拆开。</t>
  </si>
  <si>
    <t>极限性质</t>
  </si>
  <si>
    <t>所有年度作为工具</t>
  </si>
  <si>
    <t>高频工具</t>
  </si>
  <si>
    <t>能先化简、归一化再运算，避免制造不存在的分项极限。</t>
  </si>
  <si>
    <t>K021</t>
  </si>
  <si>
    <t>夹逼准则</t>
  </si>
  <si>
    <t>会构造上下界并证明两端同极限。</t>
  </si>
  <si>
    <t>若从某项起 $x_n\le y_n\le z_n$ 且 $x_n,z_n\to A$，则 $y_n\to A$。</t>
  </si>
  <si>
    <t>不等式只需从某项起成立；两端必须趋于同一有限或同向无穷极限。</t>
  </si>
  <si>
    <t>含和式、积分式、振荡因子的数列极限。</t>
  </si>
  <si>
    <t>定积分估计、级数余项、概率极限直觉。</t>
  </si>
  <si>
    <t>“夹在”“绝对值≤”“和式难算”</t>
  </si>
  <si>
    <t>上、下界极限不同；不说明不等式成立范围。</t>
  </si>
  <si>
    <t>不等式、极限运算</t>
  </si>
  <si>
    <t>2012、2017、2024等工具性出现</t>
  </si>
  <si>
    <t>能主动用绝对值压缩振荡项，用最大/最小项估计和。</t>
  </si>
  <si>
    <t>K022</t>
  </si>
  <si>
    <t>单调有界准则</t>
  </si>
  <si>
    <t>会证明递推数列单调且有界，从而得到收敛性。</t>
  </si>
  <si>
    <t>单调递增且上有界，或单调递减且下有界的数列必收敛。</t>
  </si>
  <si>
    <t>必须同时证明单调与相应方向的界；仅由递推极限方程不能证明极限存在。</t>
  </si>
  <si>
    <t>递推数列极限；证明数列收敛。</t>
  </si>
  <si>
    <t>不等式、函数单调性、积分递推。</t>
  </si>
  <si>
    <t>“递推定义”“证明极限存在”</t>
  </si>
  <si>
    <t>先设极限再代入，跳过存在性；界选得不封闭。</t>
  </si>
  <si>
    <t>数学归纳法、单调性</t>
  </si>
  <si>
    <t>2012、2018等经典综合</t>
  </si>
  <si>
    <t>中频核心</t>
  </si>
  <si>
    <t>形成“找不动点—构造不变区间—证明单调—求极限”的完整链。</t>
  </si>
  <si>
    <t>K023</t>
  </si>
  <si>
    <t>递推数列极限</t>
  </si>
  <si>
    <t>会用不动点方程求候选，并用单调有界、压缩或夹逼证明存在。</t>
  </si>
  <si>
    <t>掌握方法</t>
  </si>
  <si>
    <t>若已知 $a_n\to A$ 且递推函数连续，则 $A=\varphi(A)$；此方程只给候选，不给存在性。</t>
  </si>
  <si>
    <t>取极限前须证明收敛或题目已给收敛；多个不动点需结合初值与不变区间筛选。</t>
  </si>
  <si>
    <t>求递推极限；证明单调有界。</t>
  </si>
  <si>
    <t>中值定理、积分不等式、函数迭代。</t>
  </si>
  <si>
    <t>“$a_{n+1}=\varphi(a_n)$”</t>
  </si>
  <si>
    <t>循环论证；忽略初值导致选错根。</t>
  </si>
  <si>
    <t>单调有界、连续性</t>
  </si>
  <si>
    <t>2012、2018及更早经典题</t>
  </si>
  <si>
    <t>中低频，高能力价值</t>
  </si>
  <si>
    <t>能独立处理一阶递推、分式递推和积分定义递推。</t>
  </si>
  <si>
    <t>K030</t>
  </si>
  <si>
    <t>无穷小与无穷大</t>
  </si>
  <si>
    <t>无穷小、无穷大及互为倒数</t>
  </si>
  <si>
    <t>会在指定过程下判断；区分“无穷小量”与常数0。</t>
  </si>
  <si>
    <t>若 $\alpha(x)\to0$，称其为无穷小；若 $|f(x)|\to\infty$，称为无穷大。非零无穷小的倒数为无穷大，反之亦然。</t>
  </si>
  <si>
    <t>必须明确趋近过程；倒数结论要求在去心邻域非零。</t>
  </si>
  <si>
    <t>判断无穷小阶；极限改写。</t>
  </si>
  <si>
    <t>等价替换、级数必要条件、反常积分。</t>
  </si>
  <si>
    <t>“无穷小量”“无穷大量”</t>
  </si>
  <si>
    <t>把很小的固定数称无穷小；忽略过程。</t>
  </si>
  <si>
    <t>所有年度工具</t>
  </si>
  <si>
    <t>能把 $f\to A$ 改写为 $f=A+o(1)$ 并正确使用。</t>
  </si>
  <si>
    <t>K031</t>
  </si>
  <si>
    <t>无穷小比较</t>
  </si>
  <si>
    <t>同阶、高阶、低阶与等价无穷小</t>
  </si>
  <si>
    <t>会用比值极限分类，并掌握 $o,O,\sim$ 的含义。</t>
  </si>
  <si>
    <t>若 $\alpha/\beta\to c\ne0$ 为同阶；趋0则 $\alpha=o(\beta)$；趋1则 $\alpha\sim\beta$。</t>
  </si>
  <si>
    <t>$\beta$ 在去心邻域需非零；等价是同阶的特殊情形，不是相等。</t>
  </si>
  <si>
    <t>判断无穷小阶；求参数使同阶/等价。</t>
  </si>
  <si>
    <t>泰勒展开、导数定义、级数比较。</t>
  </si>
  <si>
    <t>“几阶无穷小”“同阶”“等价”</t>
  </si>
  <si>
    <t>把同阶误作等价；忽略系数；把 $O$ 与 $o$ 混用。</t>
  </si>
  <si>
    <t>极限四则</t>
  </si>
  <si>
    <t>2015、2023、2025等</t>
  </si>
  <si>
    <t>能从最低非零泰勒项直接判阶并保留首项系数。</t>
  </si>
  <si>
    <t>K032</t>
  </si>
  <si>
    <t>常用等价无穷小</t>
  </si>
  <si>
    <t>熟记并能推导 $x\to0$ 时三角、指数、对数、根式等价式。</t>
  </si>
  <si>
    <t>$\sin x\sim x$，$\tan x\sim x$，$1-\cos x\sim x^2/2$，$e^x-1\sim x$，$\ln(1+x)\sim x$，$(1+x)^\alpha-1\sim\alpha x$，$\arcsin x\sim x$，$\arctan x\sim x$。</t>
  </si>
  <si>
    <t>仅在相应自变量趋0时使用；复合后要求内层趋0；参数导致首项消失时需升阶。</t>
  </si>
  <si>
    <t>乘商型极限快速计算。</t>
  </si>
  <si>
    <t>泰勒、积分等价、微分方程局部分析。</t>
  </si>
  <si>
    <t>“趋于0的基本函数差”</t>
  </si>
  <si>
    <t>漏系数1/2或α；内层不趋0；在加减式中直接逐项替换造成消项错误。</t>
  </si>
  <si>
    <t>每年直接或间接</t>
  </si>
  <si>
    <t>默写无误；能用泰勒验证，遇消去立即提升展开阶数。</t>
  </si>
  <si>
    <t>K033</t>
  </si>
  <si>
    <t>等价无穷小替换规则</t>
  </si>
  <si>
    <t>理解等价替换主要安全用于乘积和商；加减结构先提取或展开。</t>
  </si>
  <si>
    <t>若 $\alpha\sim\tilde\alpha$，在不发生危险消去的乘商结构中可替换；对 $\alpha-\beta$，首项可能相消，必须比较更高阶。</t>
  </si>
  <si>
    <t>替换后整体相对误差须可控；分母不能把误差放大。</t>
  </si>
  <si>
    <t>复杂极限方法选择；判断错误解法。</t>
  </si>
  <si>
    <t>泰勒、洛必达、积分中值定理。</t>
  </si>
  <si>
    <t>“两个近似量相减”“首项抵消”</t>
  </si>
  <si>
    <t>把 $\sin x-x$ 直接替换为0；在和差中机械替换。</t>
  </si>
  <si>
    <t>等价无穷小</t>
  </si>
  <si>
    <t>2016、2025等</t>
  </si>
  <si>
    <t>高频陷阱</t>
  </si>
  <si>
    <t>能写出误差项或至少检查是否存在首项消去。</t>
  </si>
  <si>
    <t>K028</t>
  </si>
  <si>
    <t>极限存在性</t>
  </si>
  <si>
    <t>函数极限的夹逼准则</t>
  </si>
  <si>
    <t>会利用绝对值、积分界、三角界构造夹逼。</t>
  </si>
  <si>
    <t>在某去心邻域有 $g(x)\le f(x)\le h(x)$，且两端同趋于 $A$，则 $f(x)\to A$。</t>
  </si>
  <si>
    <t>邻域内不等式必须成立；夹逼对象可以是绝对值形式 $|f(x)-A|\le\varphi(x)\to0$。</t>
  </si>
  <si>
    <t>振荡极限；积分平均值极限。</t>
  </si>
  <si>
    <t>定积分、微分中值定理、级数余项。</t>
  </si>
  <si>
    <t>“有界因子×无穷小”“积分区间缩短”</t>
  </si>
  <si>
    <t>只写“显然夹逼”不写上下界；估计不趋零。</t>
  </si>
  <si>
    <t>不等式</t>
  </si>
  <si>
    <t>2010、2017、2025等</t>
  </si>
  <si>
    <t>高频方法</t>
  </si>
  <si>
    <t>优先识别“有界×无穷小”和“长度×最大值”结构。</t>
  </si>
  <si>
    <t>K029</t>
  </si>
  <si>
    <t>函数极限的序列判据（海涅定理）</t>
  </si>
  <si>
    <t>理解函数极限存在等价于任意趋近点列的函数值都趋同一极限。</t>
  </si>
  <si>
    <t>$\lim_{x\to x_0}f(x)=A$ 当且仅当对任意 $x_n\to x_0$ 且 $x_n\ne x_0$，有 $f(x_n)\to A$。</t>
  </si>
  <si>
    <t>“任意点列”是关键；构造一个反例点列可否定极限。</t>
  </si>
  <si>
    <t>证明极限不存在；构造反例。</t>
  </si>
  <si>
    <t>多元极限路径法、连续性逻辑。</t>
  </si>
  <si>
    <t>“沿不同路径/序列”</t>
  </si>
  <si>
    <t>用一个点列收敛来证明函数极限；只检查有限条路径后宣称存在。</t>
  </si>
  <si>
    <t>较少直接考，多元极限核心思想</t>
  </si>
  <si>
    <t>低频，方法重要</t>
  </si>
  <si>
    <t>掌握否定方向；证明存在仍优先用估计而非枚举路径。</t>
  </si>
  <si>
    <t>K036</t>
  </si>
  <si>
    <t>极限计算方法</t>
  </si>
  <si>
    <t>代数化简、因式分解与有理化</t>
  </si>
  <si>
    <t>会针对 $0/0$ 消去公因子、通分、共轭有理化。</t>
  </si>
  <si>
    <t>会求</t>
  </si>
  <si>
    <t>极限允许在去心邻域内用等价表达式替换；因式分解后可约去不恒为零的公因子。</t>
  </si>
  <si>
    <t>约分只要求去心邻域非零，不要求点上有定义；有理化需同时乘共轭。</t>
  </si>
  <si>
    <t>根式极限、有理式极限。</t>
  </si>
  <si>
    <t>泰勒、洛必达前的预处理。</t>
  </si>
  <si>
    <t>“根号差”“高次多项式差”</t>
  </si>
  <si>
    <t>约去可能在邻域内多次为零的因子而不说明；代数错误。</t>
  </si>
  <si>
    <t>因式分解</t>
  </si>
  <si>
    <t>基础题常见</t>
  </si>
  <si>
    <t>能在30秒内完成常见根式共轭与最高次项归一化。</t>
  </si>
  <si>
    <t>K037</t>
  </si>
  <si>
    <t>幂指型极限的对数化</t>
  </si>
  <si>
    <t>统一处理 $0^0,1^\infty,\infty^0$ 型。</t>
  </si>
  <si>
    <t>令 $y=f(x)^{g(x)}&gt;0$，则 $\ln y=g(x)\ln f(x)$；先求右侧极限 $L$，再得 $y\to e^L$。</t>
  </si>
  <si>
    <t>底数需在所考邻域为正；若对数极限为 $\pm\infty$，相应判断0或无穷。</t>
  </si>
  <si>
    <t>$x^x$、复合幂函数极限。</t>
  </si>
  <si>
    <t>泰勒、洛必达、指数连续性。</t>
  </si>
  <si>
    <t>“变量底数的变量指数”</t>
  </si>
  <si>
    <t>对非正底数直接取对数；求完 $\ln y$ 忘记指数还原。</t>
  </si>
  <si>
    <t>对数函数</t>
  </si>
  <si>
    <t>2010、2016、2025</t>
  </si>
  <si>
    <t>中高频</t>
  </si>
  <si>
    <t>把所有幂指未定式先转成乘积/商，再选择展开阶数。</t>
  </si>
  <si>
    <t>K041</t>
  </si>
  <si>
    <t>连续函数性质</t>
  </si>
  <si>
    <t>初等函数与复合函数连续性</t>
  </si>
  <si>
    <t>会在定义域内直接用连续性代入求极限。</t>
  </si>
  <si>
    <t>基本初等函数在其定义域内连续；有限次四则运算与合法复合保持连续。</t>
  </si>
  <si>
    <t>商要求分母非零；复合要求内层值落在外层连续点。</t>
  </si>
  <si>
    <t>直接代入型极限；证明函数连续。</t>
  </si>
  <si>
    <t>变上限积分、多元连续性。</t>
  </si>
  <si>
    <t>“初等函数”“定义域内”</t>
  </si>
  <si>
    <t>忽略分母为零或外层边界点。</t>
  </si>
  <si>
    <t>基本函数</t>
  </si>
  <si>
    <t>能说明“为什么可代入”，而非把代入当无条件规则。</t>
  </si>
  <si>
    <t>K038</t>
  </si>
  <si>
    <t>连续性</t>
  </si>
  <si>
    <t>函数在一点连续</t>
  </si>
  <si>
    <t>会用极限等于函数值判断；理解连续包含有定义、极限存在、二者相等。</t>
  </si>
  <si>
    <t>$f$ 在 $x_0$ 连续当且仅当 $\lim_{x\to x_0}f(x)=f(x_0)$，即 $\Delta x\to0$ 时 $\Delta y\to0$。</t>
  </si>
  <si>
    <t>双侧连续要求两侧均在定义域内；端点通常用单侧连续。</t>
  </si>
  <si>
    <t>判断连续；求参数补定义。</t>
  </si>
  <si>
    <t>可导性、积分上限函数、闭区间定理。</t>
  </si>
  <si>
    <t>“连续”“补充定义”“参数”</t>
  </si>
  <si>
    <t>漏检查函数值；极限存在就称连续。</t>
  </si>
  <si>
    <t>每年基础工具</t>
  </si>
  <si>
    <t>能用三条件法快速判断，并会区分连续与可导。</t>
  </si>
  <si>
    <t>K039</t>
  </si>
  <si>
    <t>左连续、右连续与区间连续</t>
  </si>
  <si>
    <t>会在端点和分段点使用单侧连续。</t>
  </si>
  <si>
    <t>左连续：$f(x_0^-)=f(x_0)$；右连续类似。闭区间连续指内部连续且端点相应单侧连续。</t>
  </si>
  <si>
    <t>端点外侧若不在定义域，无需讨论；分段函数边界归属要看定义。</t>
  </si>
  <si>
    <t>分段参数题；闭区间定理条件核查。</t>
  </si>
  <si>
    <t>最值、介值、积分存在性。</t>
  </si>
  <si>
    <t>“在[a,b]连续”“右连续”</t>
  </si>
  <si>
    <t>要求端点双侧连续；忽略分段点属于哪段。</t>
  </si>
  <si>
    <t>能完整写出闭区间连续的端点条件。</t>
  </si>
  <si>
    <t>K040</t>
  </si>
  <si>
    <t>间断点分类</t>
  </si>
  <si>
    <t>会区分可去、跳跃、无穷和振荡间断。</t>
  </si>
  <si>
    <t>第一类间断点左右极限均存在：相等为可去，不等为跳跃；至少一侧极限不存在或无穷为第二类。</t>
  </si>
  <si>
    <t>“函数值错误或未定义”可形成可去间断；分类依据左右极限，不依据图像是否断开。</t>
  </si>
  <si>
    <t>判间断点及类型；求参数消除间断。</t>
  </si>
  <si>
    <t>反常积分、分段函数、周期延拓。</t>
  </si>
  <si>
    <t>“间断点类型”“可去”</t>
  </si>
  <si>
    <t>把无穷间断归为跳跃；只看点值。</t>
  </si>
  <si>
    <t>选择题常见</t>
  </si>
  <si>
    <t>遇间断点能立即列左右极限并按判定树分类。</t>
  </si>
  <si>
    <t>K042</t>
  </si>
  <si>
    <t>闭区间定理</t>
  </si>
  <si>
    <t>有界性与最大最小值定理</t>
  </si>
  <si>
    <t>理解闭区间连续函数必有界且能取到最大、最小值。</t>
  </si>
  <si>
    <t>理解并会用</t>
  </si>
  <si>
    <t>若 $f\in C[a,b]$，则存在 $x_m,x_M\in[a,b]$ 使 $f(x_m)=m,f(x_M)=M$。</t>
  </si>
  <si>
    <t>闭区间与连续缺一不可；开区间或仅有界不保证取到最值。</t>
  </si>
  <si>
    <t>判断定理适用；证明存在最值。</t>
  </si>
  <si>
    <t>全局最值、积分估计、多元紧集性质。</t>
  </si>
  <si>
    <t>“闭区间连续”“一定存在”</t>
  </si>
  <si>
    <t>把局部极值当全局最值；漏端点比较。</t>
  </si>
  <si>
    <t>2018、2021等逻辑题</t>
  </si>
  <si>
    <t>条件检查要形成反射：连续＋紧区间→有界且取到。</t>
  </si>
  <si>
    <t>K043</t>
  </si>
  <si>
    <t>零点定理与介值定理</t>
  </si>
  <si>
    <t>会通过端点异号证明至少一个零点；会证明函数取某中间值。</t>
  </si>
  <si>
    <t>若 $f\in C[a,b]$ 且 $f(a)f(b)&lt;0$，则存在 $\xi\in(a,b)$ 使 $f(\xi)=0$；介值定理更一般。</t>
  </si>
  <si>
    <t>只保证存在，不保证唯一；端点同号也不能推出无根。</t>
  </si>
  <si>
    <t>证明方程有根；根区间定位。</t>
  </si>
  <si>
    <t>单调性证明唯一根、中值定理、参数方程。</t>
  </si>
  <si>
    <t>“证明至少有一根”“端点异号”</t>
  </si>
  <si>
    <t>把存在性与唯一性混淆；函数不连续仍套零点定理。</t>
  </si>
  <si>
    <t>连续性、不等式</t>
  </si>
  <si>
    <t>2011、2017、2023等</t>
  </si>
  <si>
    <t>熟练构造辅助函数并用“连续＋异号＋单调”完成存在唯一性。</t>
  </si>
  <si>
    <t>K044</t>
  </si>
  <si>
    <t>一致连续性（教材扩展）</t>
  </si>
  <si>
    <t>知道闭区间连续蕴含一致连续；一般不作为数学一独立要求。</t>
  </si>
  <si>
    <t>教材有但大纲未单列</t>
  </si>
  <si>
    <t>了解边界</t>
  </si>
  <si>
    <t>一致连续要求同一个 $\delta$ 对定义域内所有点有效；Heine–Cantor：闭区间连续函数一致连续。</t>
  </si>
  <si>
    <t>当前数学一大纲未单独列出一致连续性；不要投入大量证明训练。</t>
  </si>
  <si>
    <t>偶见概念辨析或证明工具。</t>
  </si>
  <si>
    <t>积分估计、函数列（但函数列一致收敛不属大纲）。</t>
  </si>
  <si>
    <t>“一致连续”</t>
  </si>
  <si>
    <t>把点态连续直接当一致连续；在无界区间误用闭区间结论。</t>
  </si>
  <si>
    <t>连续定义</t>
  </si>
  <si>
    <t>近十五年极少直接考</t>
  </si>
  <si>
    <t>D/边缘</t>
  </si>
  <si>
    <t>弱化/边缘</t>
  </si>
  <si>
    <t>只需理解定义差异和闭区间结论，不做复杂反例证明专题。</t>
  </si>
  <si>
    <t>K061</t>
  </si>
  <si>
    <t>一元函数微分学</t>
  </si>
  <si>
    <t>中值定理</t>
  </si>
  <si>
    <t>罗尔定理</t>
  </si>
  <si>
    <t>会核验闭区间连续、开区间可导、端点等值，并构造辅助函数。</t>
  </si>
  <si>
    <t>若 $f\in C[a,b]$、在 $(a,b)$ 可导且 $f(a)=f(b)$，则存在 $\xi\in(a,b)$ 使 $f\prime(\xi)=0$。</t>
  </si>
  <si>
    <t>三个条件缺一不可；结论只保证至少一点。</t>
  </si>
  <si>
    <t>证明导数有零点；重复应用构造高阶结论。</t>
  </si>
  <si>
    <t>方程根、中值证明、积分不等式。</t>
  </si>
  <si>
    <t>“端点值相等”“证明存在ξ使导数为0”</t>
  </si>
  <si>
    <t>不写条件；辅助函数端点不等；把ξ写成端点。</t>
  </si>
  <si>
    <t>连续、可导</t>
  </si>
  <si>
    <t>2011、2019、2026等</t>
  </si>
  <si>
    <t>高频证明工具</t>
  </si>
  <si>
    <t>会反向设计辅助函数，使目标式成为导数为零。</t>
  </si>
  <si>
    <t>K062</t>
  </si>
  <si>
    <t>拉格朗日中值定理</t>
  </si>
  <si>
    <t>会把函数增量写成某点导数乘区间长度。</t>
  </si>
  <si>
    <t>若 $f\in C[a,b]$ 且在 $(a,b)$ 可导，则存在 $\xi$ 使 $f(b)-f(a)=f\prime(\xi)(b-a)$。</t>
  </si>
  <si>
    <t>ξ依赖于区间，不能随意固定；区间方向可统一排序。</t>
  </si>
  <si>
    <t>证明不等式、唯一性、误差估计。</t>
  </si>
  <si>
    <t>单调性、极限、积分估计、递推。</t>
  </si>
  <si>
    <t>“函数值差”“存在ξ”“估计差值”</t>
  </si>
  <si>
    <t>把不同区间产生的ξ当同一点；忽略可导条件。</t>
  </si>
  <si>
    <t>几乎每年作为核心工具</t>
  </si>
  <si>
    <t>形成识别：出现 $f(b)-f(a)$ 或差商，先考虑拉格朗日。</t>
  </si>
  <si>
    <t>K063</t>
  </si>
  <si>
    <t>柯西中值定理</t>
  </si>
  <si>
    <t>会在两个函数增量比与洛必达证明中使用。</t>
  </si>
  <si>
    <t>了解并会用</t>
  </si>
  <si>
    <t>若 $f,g$ 在闭区间连续、开区间可导且 $g\prime$ 不为0，则存在 $\xi$ 使 $[f(b)-f(a)]/[g(b)-g(a)]=f\prime(\xi)/g\prime(\xi)$。</t>
  </si>
  <si>
    <t>需保证分母增量与 $g\prime$ 条件；不同教材条件表述略有等价变化。</t>
  </si>
  <si>
    <t>证明比值型存在命题；特殊极限。</t>
  </si>
  <si>
    <t>洛必达、两函数比较、积分中值。</t>
  </si>
  <si>
    <t>“两个函数增量之比”</t>
  </si>
  <si>
    <t>漏 $g\prime\ne0$；机械套用造成辅助函数更复杂。</t>
  </si>
  <si>
    <t>直接低频，证明工具</t>
  </si>
  <si>
    <t>低频工具</t>
  </si>
  <si>
    <t>理解其结构；常规证明优先选更简洁的罗尔/拉格朗日。</t>
  </si>
  <si>
    <t>K064</t>
  </si>
  <si>
    <t>辅助函数构造</t>
  </si>
  <si>
    <t>能从目标等式反推导数形式、端点等值或零点条件。</t>
  </si>
  <si>
    <t>常见策略：移项积分得到原函数；乘指数因子；除以幂函数；引入线性插值；多次罗尔降阶。</t>
  </si>
  <si>
    <t>构造后必须核验连续可导与端点关系；不能只写“令某函数”而无动机。</t>
  </si>
  <si>
    <t>中值定理证明题；存在性证明。</t>
  </si>
  <si>
    <t>积分、Taylor、微分方程积分因子。</t>
  </si>
  <si>
    <t>“证明存在ξ使复杂等式成立”</t>
  </si>
  <si>
    <t>目标式没有转成 $F\prime(\xi)=0$ 或中值定理标准式；条件漏写。</t>
  </si>
  <si>
    <t>中值定理、积分</t>
  </si>
  <si>
    <t>2013、2017、2019、2025、2026</t>
  </si>
  <si>
    <t>高频高难</t>
  </si>
  <si>
    <t>升温/稳定高位</t>
  </si>
  <si>
    <t>能按“目标式→移项→识别导数→定端点”反向设计，完整写证明链。</t>
  </si>
  <si>
    <t>K078</t>
  </si>
  <si>
    <t>曲率中心、渐屈线与方程近似解</t>
  </si>
  <si>
    <t>知道同济教材含这些内容，但现行数学一大纲不要求渐屈线、渐伸线、二分法/牛顿迭代。</t>
  </si>
  <si>
    <t>教材有但通常不考</t>
  </si>
  <si>
    <t>教材扩展内容不等于考试范围；大纲只明确曲率、曲率圆和曲率半径。</t>
  </si>
  <si>
    <t>除非用于理解或学校自命题，不列为统考数学一必备。</t>
  </si>
  <si>
    <t>边界识别。</t>
  </si>
  <si>
    <t>数值分析。</t>
  </si>
  <si>
    <t>“渐屈线”“牛顿迭代”</t>
  </si>
  <si>
    <t>按教材章节全学导致时间错配。</t>
  </si>
  <si>
    <t>曲率、Taylor</t>
  </si>
  <si>
    <t>近年无统考独立考查</t>
  </si>
  <si>
    <t>不安排专项训练；只保留曲率基本公式与条件。</t>
  </si>
  <si>
    <t>K046</t>
  </si>
  <si>
    <t>导数与微分概念</t>
  </si>
  <si>
    <t>导数定义与差商极限</t>
  </si>
  <si>
    <t>会由定义求导、反推极限、判断不可导点。</t>
  </si>
  <si>
    <t>$f\prime(x_0)=\lim_{h\to0}[f(x_0+h)-f(x_0)]/h$，等价于 $\lim_{x\to x_0}[f(x)-f(x_0)]/(x-x_0)$。</t>
  </si>
  <si>
    <t>极限必须为有限实数；函数须在点及其邻域有定义。</t>
  </si>
  <si>
    <t>定义求导；含绝对值/积分函数在点的导数。</t>
  </si>
  <si>
    <t>极限、连续、分段函数、参数确定。</t>
  </si>
  <si>
    <t>“按定义”“差商”“在x=0处导数”</t>
  </si>
  <si>
    <t>先套公式而忽略点处定义；把单侧导数当双侧导数。</t>
  </si>
  <si>
    <t>函数极限、连续</t>
  </si>
  <si>
    <t>2023、2024、2026等</t>
  </si>
  <si>
    <t>高频核心</t>
  </si>
  <si>
    <t>看到差商能识别导数中心点与增量；可从定义处理非标准表达式。</t>
  </si>
  <si>
    <t>K047</t>
  </si>
  <si>
    <t>左导数、右导数与可导判定</t>
  </si>
  <si>
    <t>会分别计算连接点左右导数。</t>
  </si>
  <si>
    <t>$f$ 在内点可导当且仅当左右导数都存在且相等。</t>
  </si>
  <si>
    <t>函数在该点必须有定义；端点通常只定义单侧导数。</t>
  </si>
  <si>
    <t>分段函数参数题；绝对值尖点。</t>
  </si>
  <si>
    <t>连续性、极值点、拐点。</t>
  </si>
  <si>
    <t>“分段点”“|x|”“左右导数”</t>
  </si>
  <si>
    <t>只比较两侧导数公式而未先确保连续；漏点值。</t>
  </si>
  <si>
    <t>固定流程：先连续，再算左右差商或左右导数。</t>
  </si>
  <si>
    <t>K048</t>
  </si>
  <si>
    <t>可导与连续关系</t>
  </si>
  <si>
    <t>掌握可导必连续，连续不必可导，并能给反例。</t>
  </si>
  <si>
    <t>$f$ 在 $x_0$ 可导 $\Rightarrow f$ 在 $x_0$ 连续；逆命题不成立，如 $|x|$ 在0连续不可导。</t>
  </si>
  <si>
    <t>是一点处结论；偏导存在与多元可微关系不同。</t>
  </si>
  <si>
    <t>逻辑判断；证明连续；反例选择。</t>
  </si>
  <si>
    <t>间断点、极值、微分。</t>
  </si>
  <si>
    <t>“可导/连续充分必要”</t>
  </si>
  <si>
    <t>把充分条件写成充要；用不可导推出不连续。</t>
  </si>
  <si>
    <t>2021、2023、2025等概念题</t>
  </si>
  <si>
    <t>能画出逻辑箭头并准备至少三个反例：$|x|$、$x^{2/3}$、分段振荡。</t>
  </si>
  <si>
    <t>K049</t>
  </si>
  <si>
    <t>导数的几何与物理意义</t>
  </si>
  <si>
    <t>理解切线斜率、瞬时变化率；会写切线与法线。</t>
  </si>
  <si>
    <t>曲线 $y=f(x)$ 在 $(x_0,y_0)$ 的切线：$y-y_0=f\prime(x_0)(x-x_0)$；若 $f\prime(x_0)\ne0$，法线斜率为 $-1/f\prime(x_0)$。</t>
  </si>
  <si>
    <t>竖直切线对应差商绝对值趋无穷，通常不称有限导数存在；法线特殊情形需单独写。</t>
  </si>
  <si>
    <t>切线、法线、瞬时速度。</t>
  </si>
  <si>
    <t>隐函数、参数曲线、空间切线。</t>
  </si>
  <si>
    <t>“切线”“法线”“斜率”</t>
  </si>
  <si>
    <t>点坐标代错；法线斜率在导数为0时写成无穷分数。</t>
  </si>
  <si>
    <t>直线方程</t>
  </si>
  <si>
    <t>2010、2023等工具</t>
  </si>
  <si>
    <t>能处理水平切线、竖直切线及参数曲线切线。</t>
  </si>
  <si>
    <t>K070</t>
  </si>
  <si>
    <t>导数应用</t>
  </si>
  <si>
    <t>单调区间判定</t>
  </si>
  <si>
    <t>会求定义域、临界点并作导数符号表。</t>
  </si>
  <si>
    <t>区间内 $f\prime&gt;0$ 则严格增，$f\prime&lt;0$ 则严格减；临界点包括导数为0或不存在但函数有定义的点。</t>
  </si>
  <si>
    <t>必须按定义域分区；$f\prime\ge0$ 推不减，严格性需进一步判断。</t>
  </si>
  <si>
    <t>求单调区间；参数单调。</t>
  </si>
  <si>
    <t>根的唯一性、不等式、极值。</t>
  </si>
  <si>
    <t>“单调区间”“恒增”“参数范围”</t>
  </si>
  <si>
    <t>漏不可导临界点；跨间断点合并单调区间。</t>
  </si>
  <si>
    <t>求导、不等式</t>
  </si>
  <si>
    <t>每年</t>
  </si>
  <si>
    <t>能快速作符号表并用单调性解决方程和不等式。</t>
  </si>
  <si>
    <t>K071</t>
  </si>
  <si>
    <t>局部极值与必要/充分条件</t>
  </si>
  <si>
    <t>会用导数符号变化、一二阶条件判断极值。</t>
  </si>
  <si>
    <t>可导内点取得极值则 $f\prime=0$（Fermat必要条件）；若导数由正变负为极大、负变正为极小；若 $f\prime=0,f\prime\prime&gt;0$ 为极小，$&lt;0$ 为极大。</t>
  </si>
  <si>
    <t>Fermat只对可导内点；二阶充分条件要求二阶导非零，等于0时失效。</t>
  </si>
  <si>
    <t>求极值点/极值；参数极值。</t>
  </si>
  <si>
    <t>全局最值、积分函数、多元极值。</t>
  </si>
  <si>
    <t>“极值”“驻点”“二阶导”</t>
  </si>
  <si>
    <t>驻点必为极值；漏不可导极值点；把极值点与极值混写。</t>
  </si>
  <si>
    <t>2021、2025等</t>
  </si>
  <si>
    <t>能用符号变化作为最稳判断，并会给 $x^3,x^4,|x|$ 反例。</t>
  </si>
  <si>
    <t>K072</t>
  </si>
  <si>
    <t>闭区间最大值最小值</t>
  </si>
  <si>
    <t>会比较端点、内部驻点和不可导点的函数值。</t>
  </si>
  <si>
    <t>连续函数在闭区间必取到最值；候选来自端点、内部导数为0点及不可导点。</t>
  </si>
  <si>
    <t>若函数不连续或区间不闭，需另判是否能取到；不是只找极值点。</t>
  </si>
  <si>
    <t>实际最优化；参数最值。</t>
  </si>
  <si>
    <t>积分不等式、全局极值、多元边界最值。</t>
  </si>
  <si>
    <t>“在[a,b]上的最大值”</t>
  </si>
  <si>
    <t>漏端点；只解 $f\prime=0$；候选点超定义域。</t>
  </si>
  <si>
    <t>闭区间定理、导数</t>
  </si>
  <si>
    <t>常见工具</t>
  </si>
  <si>
    <t>固定候选清单，比较函数值而非仅比较导数。</t>
  </si>
  <si>
    <t>K073</t>
  </si>
  <si>
    <t>凹凸性与拐点</t>
  </si>
  <si>
    <t>会用二阶导号判断图形弯曲方向和拐点。</t>
  </si>
  <si>
    <t>按现行大纲常用表述：$f\prime\prime&gt;0$ 的图形称“凹”，$f\prime\prime&lt;0$ 称“凸”；拐点要求曲线凹凸性发生改变。</t>
  </si>
  <si>
    <t>不同教材中“凸/凹”中文命名可能相反，应以二阶导符号和弦线不等式为准；$f\prime\prime=0$ 仅是候选。</t>
  </si>
  <si>
    <t>求凹凸区间、拐点；概念判断。</t>
  </si>
  <si>
    <t>差商单调性、Taylor不等式、参数曲线。</t>
  </si>
  <si>
    <t>“凹/凸”“拐点”“二阶导”</t>
  </si>
  <si>
    <t>只解二阶导等于0就判拐点；被术语翻译混淆。</t>
  </si>
  <si>
    <t>二阶导数</t>
  </si>
  <si>
    <t>2011、2019、2025、2026</t>
  </si>
  <si>
    <t>稳定/概念升温</t>
  </si>
  <si>
    <t>总用“$f\prime\prime$符号＋是否变号”表达，避免术语争议失分。</t>
  </si>
  <si>
    <t>K074</t>
  </si>
  <si>
    <t>渐近线</t>
  </si>
  <si>
    <t>会判水平、垂直、斜渐近线。</t>
  </si>
  <si>
    <t>水平：$\lim_{x\to\pm\infty}f(x)=b$；垂直：$x\to x_0$ 一侧 $|f(x)|\to\infty$；斜线 $y=ax+b$：$a=\lim f(x)/x$，$b=\lim[f(x)-ax]$。</t>
  </si>
  <si>
    <t>正负无穷两端可有不同渐近线；斜率需有限且通常非零。</t>
  </si>
  <si>
    <t>求渐近线；图形判断。</t>
  </si>
  <si>
    <t>极限、函数作图、积分区域。</t>
  </si>
  <si>
    <t>“渐近线”“斜渐近线”</t>
  </si>
  <si>
    <t>只求一端；先猜a导致b算错；垂直线漏单侧。</t>
  </si>
  <si>
    <t>无穷处极限</t>
  </si>
  <si>
    <t>2023等</t>
  </si>
  <si>
    <t>低中频</t>
  </si>
  <si>
    <t>三类公式熟记，能同时检查 $\pm\infty$ 与所有定义域断点。</t>
  </si>
  <si>
    <t>K075</t>
  </si>
  <si>
    <t>函数图形描绘</t>
  </si>
  <si>
    <t>综合定义域、截距、对称、单调、极值、凹凸、渐近线画草图。</t>
  </si>
  <si>
    <t>会描绘</t>
  </si>
  <si>
    <t>标准流程：定义域→对称/周期→零点与符号→一阶导符号→二阶导符号→渐近线→关键点。</t>
  </si>
  <si>
    <t>图像为逻辑汇总，不能跳过定义域与断点；草图重结构不重比例。</t>
  </si>
  <si>
    <t>综合作图；选图。</t>
  </si>
  <si>
    <t>积分区域、根的个数、参数分析。</t>
  </si>
  <si>
    <t>“描绘图形”“根的个数”</t>
  </si>
  <si>
    <t>临界点次序错误；跨渐近线连线；漏端点趋势。</t>
  </si>
  <si>
    <t>本章全部</t>
  </si>
  <si>
    <t>直接少见，综合工具</t>
  </si>
  <si>
    <t>低频直接/高频工具</t>
  </si>
  <si>
    <t>能用符号表构造可靠草图，并从图像反查根与面积。</t>
  </si>
  <si>
    <t>K059</t>
  </si>
  <si>
    <t>微分</t>
  </si>
  <si>
    <t>可微与微分定义</t>
  </si>
  <si>
    <t>理解函数增量的线性主部，掌握 $dy=f\prime(x)dx$。</t>
  </si>
  <si>
    <t>$\Delta y=A\Delta x+o(\Delta x)$ 时称可微，$dy=A\Delta x=f\prime(x)dx$；一元可微与可导等价。</t>
  </si>
  <si>
    <t>一元结论不能机械移植到多元；$o(\Delta x)$ 是相对于 $\Delta x$ 的高阶无穷小。</t>
  </si>
  <si>
    <t>求微分；线性近似。</t>
  </si>
  <si>
    <t>误差估计、多元全微分、隐函数。</t>
  </si>
  <si>
    <t>“微分”“线性主部”“近似值”</t>
  </si>
  <si>
    <t>把 $dy$ 与 $\Delta y$ 完全相等；忘记高阶误差。</t>
  </si>
  <si>
    <t>导数定义、无穷小</t>
  </si>
  <si>
    <t>概念题与工具</t>
  </si>
  <si>
    <t>能写出“增量=微分+高阶无穷小”并解释近似条件。</t>
  </si>
  <si>
    <t>K060</t>
  </si>
  <si>
    <t>微分运算法则与一阶形式不变性</t>
  </si>
  <si>
    <t>会用微分形式进行复合计算。</t>
  </si>
  <si>
    <t>无论 $u$ 是自变量还是可微中间变量，$d f(u)=f\prime(u)du$，称一阶微分形式不变性。</t>
  </si>
  <si>
    <t>仅是一阶微分的形式不变；二阶微分一般不具有同样简单的不变性。</t>
  </si>
  <si>
    <t>求复合函数微分；近似计算。</t>
  </si>
  <si>
    <t>变量代换、全微分。</t>
  </si>
  <si>
    <t>“求dy”“微分形式不变”</t>
  </si>
  <si>
    <t>把二阶微分也直接套形式不变；漏中间变量微分。</t>
  </si>
  <si>
    <t>链式法则</t>
  </si>
  <si>
    <t>2026等概念背景</t>
  </si>
  <si>
    <t>能在复杂关系中先写对数微分或全微分再整理。</t>
  </si>
  <si>
    <t>K076</t>
  </si>
  <si>
    <t>曲率</t>
  </si>
  <si>
    <t>弧微分与曲率公式</t>
  </si>
  <si>
    <t>会对显函数和参数曲线计算曲率。</t>
  </si>
  <si>
    <t>了解并会算</t>
  </si>
  <si>
    <t>显函数 $y=f(x)$：$\kappa=|y\prime\prime|/[1+(y\prime)^2]^{3/2}$；参数曲线：$\kappa=|x\prime y\prime\prime-y\prime x\prime\prime|/(x\prime^2+y\prime^2)^{3/2}$。</t>
  </si>
  <si>
    <t>曲线需足够光滑且速度向量非零；公式给曲率大小。</t>
  </si>
  <si>
    <t>求曲率、曲率半径。</t>
  </si>
  <si>
    <t>参数导数、弧长、空间曲线。</t>
  </si>
  <si>
    <t>“曲率”“曲率半径”</t>
  </si>
  <si>
    <t>分母指数写错；漏绝对值；参数速度为零时硬套。</t>
  </si>
  <si>
    <t>一二阶导数</t>
  </si>
  <si>
    <t>近十五年极少直接</t>
  </si>
  <si>
    <t>官方低频</t>
  </si>
  <si>
    <t>弱化</t>
  </si>
  <si>
    <t>公式会用即可，训练3—5题，不投入证明时间。</t>
  </si>
  <si>
    <t>K077</t>
  </si>
  <si>
    <t>曲率圆、曲率半径</t>
  </si>
  <si>
    <t>知道曲率半径 $\rho=1/\kappa$，了解密切圆概念。</t>
  </si>
  <si>
    <t>在曲率非零处，曲率圆与曲线有二阶接触，半径 $\rho=1/\kappa$；圆心位于主法线方向。</t>
  </si>
  <si>
    <t>$\kappa=0$ 时曲率半径无穷，普通曲率圆不存在。</t>
  </si>
  <si>
    <t>求曲率半径；简单曲率圆。</t>
  </si>
  <si>
    <t>法线、参数曲线。</t>
  </si>
  <si>
    <t>“密切圆”“曲率圆”</t>
  </si>
  <si>
    <t>把曲率与半径相等；忽略曲率为0。</t>
  </si>
  <si>
    <t>多年未直接考</t>
  </si>
  <si>
    <t>掌握定义与简单计算，不必扩展渐屈线/渐伸线。</t>
  </si>
  <si>
    <t>K050</t>
  </si>
  <si>
    <t>求导法则</t>
  </si>
  <si>
    <t>基本求导公式</t>
  </si>
  <si>
    <t>熟练默写幂、指数、对数、三角、反三角函数导数。</t>
  </si>
  <si>
    <t>如 $(x^\alpha)\prime=\alpha x^{\alpha-1}$（在定义允许处），$(\ln x)\prime=1/x$，$(\arctan x)\prime=1/(1+x^2)$ 等。</t>
  </si>
  <si>
    <t>定义域与参数条件不能忽略；$\ln|x|$ 的导数在 $x\ne0$ 为 $1/x$。</t>
  </si>
  <si>
    <t>直接求导；填空。</t>
  </si>
  <si>
    <t>所有微分应用、积分反推。</t>
  </si>
  <si>
    <t>“求导”“高阶导数”</t>
  </si>
  <si>
    <t>反三角导数符号/根式写错；幂函数定义域忽略。</t>
  </si>
  <si>
    <t>基本公式零停顿，连续20道基础求导正确率至少95%。</t>
  </si>
  <si>
    <t>K051</t>
  </si>
  <si>
    <t>和差积商求导</t>
  </si>
  <si>
    <t>熟练处理代数组合并控制化简。</t>
  </si>
  <si>
    <t>$(uv)\prime=u\prime v+uv\prime$；$(u/v)\prime=(u\prime v-uv\prime)/v^2$。</t>
  </si>
  <si>
    <t>商法则要求分母非零；多因子可用对数求导或乘积法则推广。</t>
  </si>
  <si>
    <t>直接求导；参数式后续计算。</t>
  </si>
  <si>
    <t>高阶导数、单调极值。</t>
  </si>
  <si>
    <t>多项乘积或商</t>
  </si>
  <si>
    <t>漏一项；分母平方或符号错误。</t>
  </si>
  <si>
    <t>基本公式</t>
  </si>
  <si>
    <t>做到结构先标记再求导，减少展开导致的错误。</t>
  </si>
  <si>
    <t>K052</t>
  </si>
  <si>
    <t>复合函数链式法则</t>
  </si>
  <si>
    <t>能对多层复合逐层求导并保持结构。</t>
  </si>
  <si>
    <t>若 $y=f(u),u=g(x)$，则 $dy/dx=f\prime(u)g\prime(x)$；多层按链相乘。</t>
  </si>
  <si>
    <t>各层在对应点可导；定义域合法。</t>
  </si>
  <si>
    <t>复杂复合求导；参数求解。</t>
  </si>
  <si>
    <t>多元链式、隐函数、微分方程。</t>
  </si>
  <si>
    <t>“套娃”函数、指数对数三角复合</t>
  </si>
  <si>
    <t>漏内层导数；把和的导数写成乘积。</t>
  </si>
  <si>
    <t>能画运算树，内层导数因子一个不少。</t>
  </si>
  <si>
    <t>K053</t>
  </si>
  <si>
    <t>反函数求导</t>
  </si>
  <si>
    <t>会用原函数导数取倒数并转换自变量。</t>
  </si>
  <si>
    <t>若 $y=f(x)$ 在点附近可逆且 $f\prime(x_0)\ne0$，则 $(f^{-1})\prime(y_0)=1/f\prime(x_0)$，$y_0=f(x_0)$。</t>
  </si>
  <si>
    <t>局部一一且导数非零；结果自变量是反函数的自变量。</t>
  </si>
  <si>
    <t>抽象反函数导数；求反三角导数。</t>
  </si>
  <si>
    <t>隐函数、参数函数。</t>
  </si>
  <si>
    <t>“反函数在某点的导数”</t>
  </si>
  <si>
    <t>在错误点取倒数；把 $x_0$ 与 $y_0$ 混淆。</t>
  </si>
  <si>
    <t>反函数</t>
  </si>
  <si>
    <t>样本中有工具性或零散出现；未逐题列年</t>
  </si>
  <si>
    <t>低频直接、工具性</t>
  </si>
  <si>
    <t>能用点对 $(x_0,y_0)$ 对齐，避免变量错位。</t>
  </si>
  <si>
    <t>K054</t>
  </si>
  <si>
    <t>对数求导与幂指函数求导</t>
  </si>
  <si>
    <t>会处理 $u(x)^{v(x)}$、多因子乘除与复杂幂。</t>
  </si>
  <si>
    <t>对正函数 $y=u^v$，$y\prime=y[v\prime\ln u+v u\prime/u]$。</t>
  </si>
  <si>
    <t>$u&gt;0$ 保证实对数；若底数可负需按原函数定义另行讨论。</t>
  </si>
  <si>
    <t>$x^x$、变量幂求导。</t>
  </si>
  <si>
    <t>幂指型极限、极值。</t>
  </si>
  <si>
    <t>“底数和指数都含x”</t>
  </si>
  <si>
    <t>取对数后漏乘原函数；忽略底数正性。</t>
  </si>
  <si>
    <t>对数、链式法则</t>
  </si>
  <si>
    <t>2025等</t>
  </si>
  <si>
    <t>能在10秒内识别对数求导优于直接展开。</t>
  </si>
  <si>
    <t>K055</t>
  </si>
  <si>
    <t>隐函数求导（一元）</t>
  </si>
  <si>
    <t>会对方程两边对 $x$ 求导，视 $y=y(x)$ 并带上 $y\prime$。</t>
  </si>
  <si>
    <t>若 $F(x,y)=0$ 且 $F_y\ne0$，则 $y\prime=-F_x/F_y$。</t>
  </si>
  <si>
    <t>需要局部隐函数存在且 $F_y\ne0$；高阶导数应对关系式继续求导。</t>
  </si>
  <si>
    <t>隐函数一阶/二阶导数；切线。</t>
  </si>
  <si>
    <t>多元隐函数、极值、微分方程。</t>
  </si>
  <si>
    <t>“由方程确定y=y(x)”</t>
  </si>
  <si>
    <t>对含 $y$ 项求导漏 $y\prime$；提前解出导致计算膨胀。</t>
  </si>
  <si>
    <t>优先保持隐式结构；会在指定点代入以简化。</t>
  </si>
  <si>
    <t>K056</t>
  </si>
  <si>
    <t>参数方程求导</t>
  </si>
  <si>
    <t>掌握一阶、二阶导数公式，并检查 $dx/dt\ne0$。</t>
  </si>
  <si>
    <t>$dy/dx=(dy/dt)/(dx/dt)$；$d^2y/dx^2=[d(dy/dx)/dt]/(dx/dt)$。</t>
  </si>
  <si>
    <t>局部要求 $x\prime(t)\ne0$；二阶导数不是 $y\prime\prime(t)/x\prime\prime(t)$。</t>
  </si>
  <si>
    <t>参数曲线二阶导数；切线、凹凸。</t>
  </si>
  <si>
    <t>弧长、曲率、参数积分。</t>
  </si>
  <si>
    <t>“由参数方程确定”“求二阶导”</t>
  </si>
  <si>
    <t>二阶公式错；忘记再除 $dx/dt$。</t>
  </si>
  <si>
    <t>2010、2019、2020、2026</t>
  </si>
  <si>
    <t>二阶参数导数公式达到条件反射，先保留参数再代点。</t>
  </si>
  <si>
    <t>K067</t>
  </si>
  <si>
    <t>泰勒公式</t>
  </si>
  <si>
    <t>Taylor公式与余项</t>
  </si>
  <si>
    <t>理解局部多项式逼近；会写Peano余项和Lagrange余项。</t>
  </si>
  <si>
    <t>$f(x)=\sum_{k=0}^n f^{(k)}(x_0)(x-x_0)^k/k!+R_n$；Peano余项 $o((x-x_0)^n)$，Lagrange余项 $f^{(n+1)}(\xi)(x-x_0)^{n+1}/(n+1)!$。</t>
  </si>
  <si>
    <t>Peano形式需在点有相应阶导；Lagrange余项需邻域内更高阶可导/连续条件。</t>
  </si>
  <si>
    <t>写展开式；估计误差；求极限。</t>
  </si>
  <si>
    <t>不等式证明、级数展开、根的存在。</t>
  </si>
  <si>
    <t>“展开到n阶”“余项”“高阶消去”</t>
  </si>
  <si>
    <t>展开阶数不足；余项阶数写错；把局部等式当全局恒等式。</t>
  </si>
  <si>
    <t>高阶导数</t>
  </si>
  <si>
    <t>2015、2016、2024、2026</t>
  </si>
  <si>
    <t>稳定高位</t>
  </si>
  <si>
    <t>能依据消去阶数选择“最低够用阶数”，并写清 $o$ 项。</t>
  </si>
  <si>
    <t>K068</t>
  </si>
  <si>
    <t>常用Maclaurin展开</t>
  </si>
  <si>
    <t>熟记指数、三角、对数、二项式的常用前若干项。</t>
  </si>
  <si>
    <t>$e^x=1+x+x^2/2!+\cdots$；$\sin x=x-x^3/3!+\cdots$；$\cos x=1-x^2/2!+\cdots$；$\ln(1+x)=x-x^2/2+\cdots$；$(1+x)^\alpha=1+\alpha x+\alpha(\alpha-1)x^2/2+\cdots$。</t>
  </si>
  <si>
    <t>做极限时是 $x\to0$ 的局部展开；幂级数收敛区间另在级数章讨论。</t>
  </si>
  <si>
    <t>高阶极限、参数匹配。</t>
  </si>
  <si>
    <t>等价无穷小、幂级数、微分方程。</t>
  </si>
  <si>
    <t>“求极限且低阶相消”</t>
  </si>
  <si>
    <t>符号、阶乘、二项系数错误；展开变量不是小量。</t>
  </si>
  <si>
    <t>Taylor公式</t>
  </si>
  <si>
    <t>几乎每年</t>
  </si>
  <si>
    <t>至少熟记到常用三至四阶，并能把复合小量代入。</t>
  </si>
  <si>
    <t>K069</t>
  </si>
  <si>
    <t>Taylor极限的阶数选择</t>
  </si>
  <si>
    <t>根据分母阶数和分子消去情况决定展开深度。</t>
  </si>
  <si>
    <t>先估计分母最低阶，再逐项展开分子直到出现首个不相消项；结果由首项比值决定。</t>
  </si>
  <si>
    <t>复合展开要保留可能影响目标阶数的交叉项；不能只各展开一阶。</t>
  </si>
  <si>
    <t>高阶$0/0$极限；参数使极限存在。</t>
  </si>
  <si>
    <t>等价替换、洛必达、多元Taylor。</t>
  </si>
  <si>
    <t>“若干项相消”“求参数使极限有限”</t>
  </si>
  <si>
    <t>少展开一阶；过度展开增加运算错误；漏复合交叉项。</t>
  </si>
  <si>
    <t>常用展开</t>
  </si>
  <si>
    <t>2015、2024、2026</t>
  </si>
  <si>
    <t>升温</t>
  </si>
  <si>
    <t>能先做阶数预算，避免盲目展开。</t>
  </si>
  <si>
    <t>K065</t>
  </si>
  <si>
    <t>洛必达法则</t>
  </si>
  <si>
    <t>$0/0$ 与 $\infty/\infty$ 型</t>
  </si>
  <si>
    <t>会核验型态和可导条件，必要时多次使用。</t>
  </si>
  <si>
    <t>在相应去心邻域可导、分母导数不为0，且导数比极限存在（有限或无穷）时，可得到原比值极限。</t>
  </si>
  <si>
    <t>只直接适用于 $0/0$ 或 $\infty/\infty$；每次使用后须重新判型；导数比无极限时法则不提供结论。</t>
  </si>
  <si>
    <t>复杂商极限。</t>
  </si>
  <si>
    <t>Taylor、等价无穷小、反常积分。</t>
  </si>
  <si>
    <t>“0/0”“∞/∞”“求导后简化”</t>
  </si>
  <si>
    <t>不判型；分子分母整体求导错；无限次机械求导。</t>
  </si>
  <si>
    <t>导数、极限</t>
  </si>
  <si>
    <t>每年工具</t>
  </si>
  <si>
    <t>能在10秒内判断洛必达是否适用，并与Taylor比较计算成本。</t>
  </si>
  <si>
    <t>K066</t>
  </si>
  <si>
    <t>其他未定式的转化</t>
  </si>
  <si>
    <t>会把 $0\cdot\infty$、$\infty-\infty$、幂指型转为商或对数。</t>
  </si>
  <si>
    <t>$0\cdot\infty$ 可改为商；$\infty-\infty$ 通分/有理化；幂指型取对数后化为乘积或商。</t>
  </si>
  <si>
    <t>转化后必须确为 $0/0$ 或 $\infty/\infty$；对数化需底数正。</t>
  </si>
  <si>
    <t>综合未定式极限。</t>
  </si>
  <si>
    <t>等价无穷小、Taylor。</t>
  </si>
  <si>
    <t>“0乘无穷”“两个无穷相减”</t>
  </si>
  <si>
    <t>未转型直接求导；通分后忽略符号。</t>
  </si>
  <si>
    <t>代数化简、对数化</t>
  </si>
  <si>
    <t>先用最低成本代数化简，洛必达作为候选而非默认。</t>
  </si>
  <si>
    <t>K057</t>
  </si>
  <si>
    <t>高阶导数概念与基本计算</t>
  </si>
  <si>
    <t>会逐阶求导并识别周期模式。</t>
  </si>
  <si>
    <t>$f^{(n)}$ 为连续逐次求导所得；指数、正弦余弦高阶导数有周期/幂次结构。</t>
  </si>
  <si>
    <t>高阶导数存在性须逐阶满足；分段点不能仅套两侧公式。</t>
  </si>
  <si>
    <t>求指定阶导数；求某点高阶导。</t>
  </si>
  <si>
    <t>Taylor、常系数微分方程。</t>
  </si>
  <si>
    <t>“$n$阶导数”“在0点”</t>
  </si>
  <si>
    <t>把指数/三角循环索引错一位；忽略分段连接点。</t>
  </si>
  <si>
    <t>基本求导</t>
  </si>
  <si>
    <t>2016、2024等</t>
  </si>
  <si>
    <t>掌握 $e^{ax}$、$\sin ax$、$\cos ax$、$(1+x)^\alpha$ 在0点高阶导。</t>
  </si>
  <si>
    <t>K058</t>
  </si>
  <si>
    <t>莱布尼茨公式</t>
  </si>
  <si>
    <t>会求乘积的 $n$ 阶导数，特别是一因子为低次多项式时。</t>
  </si>
  <si>
    <t>$(uv)^{(n)}=\sum_{k=0}^n\binom nk u^{(k)}v^{(n-k)}$。</t>
  </si>
  <si>
    <t>两函数需有足够阶导数；多项式高于其次数的导数为0，可大幅截断。</t>
  </si>
  <si>
    <t>乘积高阶导；Taylor系数。</t>
  </si>
  <si>
    <t>幂级数、常系数ODE特解。</t>
  </si>
  <si>
    <t>“n阶导”“多项式×指数/三角”</t>
  </si>
  <si>
    <t>二项系数或阶数对应写反；不利用零项简化。</t>
  </si>
  <si>
    <t>高阶导数、组合数</t>
  </si>
  <si>
    <t>偶见直接，常作工具</t>
  </si>
  <si>
    <t>能处理 $x^m e^{ax}$、$x^m\sin ax$ 的一般阶导。</t>
  </si>
  <si>
    <t>K106</t>
  </si>
  <si>
    <t>一元函数积分学</t>
  </si>
  <si>
    <t>几何应用</t>
  </si>
  <si>
    <t>平面图形面积</t>
  </si>
  <si>
    <t>会按上下函数或极坐标计算面积，必要时分段。</t>
  </si>
  <si>
    <t>直角坐标面积 $A=\int_a^b[y_{上}-y_{下}]dx$；极坐标 $A=\frac12\int_\alpha^\beta r^2(\theta)d\theta$。</t>
  </si>
  <si>
    <t>被积差需非负或按交点分段；极坐标需避免重复扫描。</t>
  </si>
  <si>
    <t>曲线围成面积；参数曲线面积。</t>
  </si>
  <si>
    <t>定积分换元、极坐标重积分。</t>
  </si>
  <si>
    <t>“围成图形面积”</t>
  </si>
  <si>
    <t>上下函数判反；交点漏解；极坐标角度范围重复。</t>
  </si>
  <si>
    <t>函数图像、交点</t>
  </si>
  <si>
    <t>2019等</t>
  </si>
  <si>
    <t>先画草图、定交点、分区间，再列积分。</t>
  </si>
  <si>
    <t>K107</t>
  </si>
  <si>
    <t>旋转体体积与截面体积</t>
  </si>
  <si>
    <t>掌握圆盘/垫片法、柱壳法和已知截面积积分。</t>
  </si>
  <si>
    <t>$V=\pi\int(R^2-r^2)dx$；壳法 $V=2\pi\int(半径)(高度)dx$；已知截面积 $A(x)$ 时 $V=\int A(x)dx$。</t>
  </si>
  <si>
    <t>旋转轴与积分变量决定半径；区域跨轴时需分段或重审内外半径。</t>
  </si>
  <si>
    <t>求旋转体体积。</t>
  </si>
  <si>
    <t>重积分体积、质心。</t>
  </si>
  <si>
    <t>“绕某轴旋转”“截面面积”</t>
  </si>
  <si>
    <t>把半径写成函数值而未减旋转轴；重复计体积。</t>
  </si>
  <si>
    <t>面积、积分</t>
  </si>
  <si>
    <t>近年低中频</t>
  </si>
  <si>
    <t>能根据区域几何选择圆盘或壳法，避免解反函数。</t>
  </si>
  <si>
    <t>K108</t>
  </si>
  <si>
    <t>弧长</t>
  </si>
  <si>
    <t>会计算直角坐标、参数方程和极坐标曲线弧长。</t>
  </si>
  <si>
    <t>$s=\int_a^b\sqrt{1+(y\prime)^2}dx$；参数式 $s=\int\sqrt{x\prime(t)^2+y\prime(t)^2}dt$；极坐标 $s=\int\sqrt{r^2+(r\prime)^2}d\theta$。</t>
  </si>
  <si>
    <t>曲线应分段光滑；参数区间避免重复描迹。</t>
  </si>
  <si>
    <t>求弧长。</t>
  </si>
  <si>
    <t>曲率、第一类曲线积分。</t>
  </si>
  <si>
    <t>“弧长”“参数曲线”</t>
  </si>
  <si>
    <t>漏平方根；区间重复；极坐标公式混淆。</t>
  </si>
  <si>
    <t>导数、参数方程</t>
  </si>
  <si>
    <t>2011等，近年低频</t>
  </si>
  <si>
    <t>低频或工具性；样本未单列精确次数</t>
  </si>
  <si>
    <t>公式会用，训练典型可积结构；复杂不可初等积分不强求。</t>
  </si>
  <si>
    <t>K109</t>
  </si>
  <si>
    <t>旋转曲面面积</t>
  </si>
  <si>
    <t>会用弧元乘旋转周长。</t>
  </si>
  <si>
    <t>绕x轴：$S=2\pi\int |y|\sqrt{1+(y\prime)^2}dx$；参数形式相应为 $2\pi\int |y(t)|\sqrt{x\prime^2+y\prime^2}dt$。</t>
  </si>
  <si>
    <t>半径取到旋转轴距离的绝对值；曲线不可重复描迹。</t>
  </si>
  <si>
    <t>旋转曲面面积。</t>
  </si>
  <si>
    <t>第一类曲面积分。</t>
  </si>
  <si>
    <t>“曲线绕轴旋转所得曲面面积”</t>
  </si>
  <si>
    <t>漏绝对值或弧长因子；把体积公式当面积。</t>
  </si>
  <si>
    <t>掌握公式和几何含义，少量训练即可。</t>
  </si>
  <si>
    <t>K079</t>
  </si>
  <si>
    <t>原函数与不定积分</t>
  </si>
  <si>
    <t>原函数概念与存在性</t>
  </si>
  <si>
    <t>理解 $F\prime=f$；区分局部/区间原函数与定积分存在。</t>
  </si>
  <si>
    <t>若在区间 $I$ 上 $F\prime(x)=f(x)$，则 $F$ 为 $f$ 的一个原函数；连续函数在区间上必有原函数，但有原函数的函数不必连续。</t>
  </si>
  <si>
    <t>导数具有Darboux介值性质，因此有第一类跳跃间断的函数不可能是导数；“定积分存在”不推出“原函数存在”。</t>
  </si>
  <si>
    <t>判断是否存在原函数；概念辨析。</t>
  </si>
  <si>
    <t>变上限积分、微分方程、反例。</t>
  </si>
  <si>
    <t>“原函数是否存在”“可积是否推出”</t>
  </si>
  <si>
    <t>把黎曼可积与有原函数混同；认为原函数唯一。</t>
  </si>
  <si>
    <t>导数、连续</t>
  </si>
  <si>
    <t>2025等逻辑题背景</t>
  </si>
  <si>
    <t>中频概念</t>
  </si>
  <si>
    <t>掌握逻辑关系并能给出阶跃函数、导函数不连续的典型反例。</t>
  </si>
  <si>
    <t>K080</t>
  </si>
  <si>
    <t>不定积分与积分常数</t>
  </si>
  <si>
    <t>理解全体原函数为 $F(x)+C$。</t>
  </si>
  <si>
    <t>$\int f(x)\,dx=F(x)+C$；同一连通区间内任意两个原函数相差常数。</t>
  </si>
  <si>
    <t>在非连通定义域上，各连通分支的常数可不同；写解答须保留 $C$。</t>
  </si>
  <si>
    <t>直接积分；由导数反求函数。</t>
  </si>
  <si>
    <t>微分方程通解、幂级数积分。</t>
  </si>
  <si>
    <t>“求不定积分”“已知导数”</t>
  </si>
  <si>
    <t>漏积分常数；跨不连续点用同一个常数。</t>
  </si>
  <si>
    <t>原函数</t>
  </si>
  <si>
    <t>基本积分准确率达到95%以上，最终答案检查求导可还原。</t>
  </si>
  <si>
    <t>K081</t>
  </si>
  <si>
    <t>基本积分公式</t>
  </si>
  <si>
    <t>熟记幂、指数、三角、反三角型积分。</t>
  </si>
  <si>
    <t>如 $\int x^\alpha dx=x^{\alpha+1}/(\alpha+1)+C$（$\alpha\ne-1$），$\int dx/x=\ln|x|+C$，$\int dx/(1+x^2)=\arctan x+C$。</t>
  </si>
  <si>
    <t>注意定义域、绝对值、参数非零条件；积分公式常可通过线性换元推广。</t>
  </si>
  <si>
    <t>直接积分、填空。</t>
  </si>
  <si>
    <t>微分方程、定积分。</t>
  </si>
  <si>
    <t>“求原函数”“基本型”</t>
  </si>
  <si>
    <t>漏绝对值；系数倒数错误；把求导公式符号照搬。</t>
  </si>
  <si>
    <t>公式零犹豫，并能通过求导反查符号与系数。</t>
  </si>
  <si>
    <t>K101</t>
  </si>
  <si>
    <t>反常积分</t>
  </si>
  <si>
    <t>无穷区间反常积分定义</t>
  </si>
  <si>
    <t>会把无穷上限改写为有限上限极限并判收敛。</t>
  </si>
  <si>
    <t>理解并会算</t>
  </si>
  <si>
    <t>$\int_a^{\infty}f=\lim_{b\to\infty}\int_a^b f$；两侧无穷需在任意分点拆成两项且各自收敛。</t>
  </si>
  <si>
    <t>不能用对称主值代替通常收敛；$(-\infty,\infty)$ 两端须分别收敛。</t>
  </si>
  <si>
    <t>判敛与计算；含参数。</t>
  </si>
  <si>
    <t>级数比较、ODE、概率密度。</t>
  </si>
  <si>
    <t>“无穷积分区间”</t>
  </si>
  <si>
    <t>直接把∞代入原函数；用奇函数对称性宣称收敛。</t>
  </si>
  <si>
    <t>极限、定积分</t>
  </si>
  <si>
    <t>2010、2016、2019等</t>
  </si>
  <si>
    <t>书写必须有截断极限；能区分Cauchy主值与通常反常积分。</t>
  </si>
  <si>
    <t>K102</t>
  </si>
  <si>
    <t>无界函数反常积分定义</t>
  </si>
  <si>
    <t>会在瑕点左右分别截断。</t>
  </si>
  <si>
    <t>若 $f$ 在 $b$ 附近无界，$\int_a^b f=\lim_{t\to b^-}\int_a^t f$；内部瑕点须拆成左右两项分别收敛。</t>
  </si>
  <si>
    <t>左右发散相消不能算通常收敛；先找所有瑕点。</t>
  </si>
  <si>
    <t>瑕积分计算；参数判敛。</t>
  </si>
  <si>
    <t>比较判别、Beta型积分。</t>
  </si>
  <si>
    <t>“分母在区间内为0”“端点无界”</t>
  </si>
  <si>
    <t>不拆内部瑕点；把两个无穷抵消。</t>
  </si>
  <si>
    <t>单侧极限</t>
  </si>
  <si>
    <t>2010、2026等</t>
  </si>
  <si>
    <t>先做“区间＋瑕点扫描”，每段分别写极限。</t>
  </si>
  <si>
    <t>K103</t>
  </si>
  <si>
    <t>$p$ 型反常积分</t>
  </si>
  <si>
    <t>熟记无穷端和零端两套阈值。</t>
  </si>
  <si>
    <t>$\int_1^\infty x^{-p}dx$ 收敛当且仅当 $p&gt;1$；$\int_0^1 x^{-p}dx$ 收敛当且仅当 $p&lt;1$。</t>
  </si>
  <si>
    <t>端点不同阈值方向相反；先把局部行为化为标准幂。</t>
  </si>
  <si>
    <t>快速判敛；参数范围。</t>
  </si>
  <si>
    <t>比较判别、级数p判别。</t>
  </si>
  <si>
    <t>“在0附近像x^{-p}”“无穷处幂衰减”</t>
  </si>
  <si>
    <t>两套阈值混淆；$p=1$ 边界误判。</t>
  </si>
  <si>
    <t>幂函数积分</t>
  </si>
  <si>
    <t>看到幂型奇性立即判断阈值并关注临界 $p=1$。</t>
  </si>
  <si>
    <t>K104</t>
  </si>
  <si>
    <t>比较判别与极限比较</t>
  </si>
  <si>
    <t>会选非负标准函数比较局部主导行为。</t>
  </si>
  <si>
    <t>对非负函数，$0\le f\le g$ 且 $\int g$ 收敛则 $\int f$ 收敛；若 $f/g\to c\in(0,\infty)$，二者同敛散。</t>
  </si>
  <si>
    <t>需在相应端点邻域非负；符号变化时先考虑绝对值或直接计算。</t>
  </si>
  <si>
    <t>复杂反常积分判敛。</t>
  </si>
  <si>
    <t>无穷小等价、数项级数比较。</t>
  </si>
  <si>
    <t>“只问敛散”“端点渐近”</t>
  </si>
  <si>
    <t>比较方向用反；全区间比较而非只看瑕点邻域；忽略符号。</t>
  </si>
  <si>
    <t>p型积分、等价无穷小</t>
  </si>
  <si>
    <t>2016、2019、2026等</t>
  </si>
  <si>
    <t>能用等价无穷小找到局部主项，不必算出积分值。</t>
  </si>
  <si>
    <t>K105</t>
  </si>
  <si>
    <t>绝对收敛与条件收敛（反常积分）</t>
  </si>
  <si>
    <t>理解绝对收敛推出收敛；振荡积分可能条件收敛。</t>
  </si>
  <si>
    <t>了解并会判简单情形</t>
  </si>
  <si>
    <t>若 $\int |f|$ 收敛，则 $\int f$ 收敛；逆命题不成立，如典型振荡尾积分可能条件收敛。</t>
  </si>
  <si>
    <t>现行大纲未像数项级数那样单列术语，但比较与收敛判断中会隐含使用；一般Dirichlet判别不作为主要求。</t>
  </si>
  <si>
    <t>判断带振荡因子的反常积分。</t>
  </si>
  <si>
    <t>Fourier、级数、概率。</t>
  </si>
  <si>
    <t>“sin x/x”“绝对值后”</t>
  </si>
  <si>
    <t>由 $f\to0$ 推出积分收敛；把条件收敛误作绝对收敛。</t>
  </si>
  <si>
    <t>反常积分、绝对值</t>
  </si>
  <si>
    <t>近年低频</t>
  </si>
  <si>
    <t>稳定/边缘</t>
  </si>
  <si>
    <t>理解概念，掌握题内可通过分部或已知估计解决的简单振荡型。</t>
  </si>
  <si>
    <t>K096</t>
  </si>
  <si>
    <t>变上限积分</t>
  </si>
  <si>
    <t>变上限积分函数及连续性</t>
  </si>
  <si>
    <t>理解 $F(x)=\int_a^x f(t)dt$ 是新函数。</t>
  </si>
  <si>
    <t>若 $f$ 可积，则 $F$ 连续；若 $f$ 在 $x$ 连续，则 $F\prime(x)=f(x)$。</t>
  </si>
  <si>
    <t>即使 $f$ 在个别点不连续，$F$ 仍可能可导性需逐点判断；积分变量是哑变量。</t>
  </si>
  <si>
    <t>求函数值、连续性、单调性。</t>
  </si>
  <si>
    <t>导数应用、ODE、极限。</t>
  </si>
  <si>
    <t>“积分上限为x”</t>
  </si>
  <si>
    <t>把积分变量t与外变量x混用；把定值积分误当常数后忘记上限变化。</t>
  </si>
  <si>
    <t>定积分</t>
  </si>
  <si>
    <t>能将其作为函数进行求导、极值、奇偶与微分方程分析。</t>
  </si>
  <si>
    <t>K097</t>
  </si>
  <si>
    <t>微积分基本定理与Newton–Leibniz公式</t>
  </si>
  <si>
    <t>掌握“积分与微分互逆”和用原函数算定积分。</t>
  </si>
  <si>
    <t>若 $f$ 连续且 $F\prime=f$，则 $\int_a^b f(x)dx=F(b)-F(a)$；同时 $d/dx\int_a^x f(t)dt=f(x)$。</t>
  </si>
  <si>
    <t>普通Newton–Leibniz用于连续函数（更一般条件不必深究）；反常积分需另取极限。</t>
  </si>
  <si>
    <t>定积分计算；变上限求导。</t>
  </si>
  <si>
    <t>ODE、积分方程、极限。</t>
  </si>
  <si>
    <t>“求定积分”“求导积分”</t>
  </si>
  <si>
    <t>原函数代上下限符号错；对反常积分直接代无穷。</t>
  </si>
  <si>
    <t>原函数、连续</t>
  </si>
  <si>
    <t>基本运算绝不失分，能区分普通与反常情形。</t>
  </si>
  <si>
    <t>K098</t>
  </si>
  <si>
    <t>复合上下限求导</t>
  </si>
  <si>
    <t>会用链式法则处理 $\int_{\alpha(x)}^{\beta(x)} f(t)dt$。</t>
  </si>
  <si>
    <t>$\frac d{dx}\int_{\alpha(x)}^{\beta(x)}f(t)dt=f(\beta(x))\beta\prime(x)-f(\alpha(x))\alpha\prime(x)$（被积函数不显含x时）。</t>
  </si>
  <si>
    <t>要求相应点连续；若被积函数还显含 $x$，需更一般Leibniz公式，但该完整定理未在大纲单列。</t>
  </si>
  <si>
    <t>复合积分函数求导；参数确定。</t>
  </si>
  <si>
    <t>导数极值、微分方程、隐函数。</t>
  </si>
  <si>
    <t>“上下限都是x的函数”</t>
  </si>
  <si>
    <t>下限项漏负号；漏上下限导数；被积函数含x时仍只算端点项。</t>
  </si>
  <si>
    <t>链式法则、基本定理</t>
  </si>
  <si>
    <t>2014、2021、2025等</t>
  </si>
  <si>
    <t>能一眼写出“上端减下端”，并判断是否还有积分内偏导项。</t>
  </si>
  <si>
    <t>K099</t>
  </si>
  <si>
    <t>含参数积分求导（Leibniz扩展）</t>
  </si>
  <si>
    <t>知道常用公式及其边界，不把它当现行大纲独立证明点。</t>
  </si>
  <si>
    <t>真题隐含/大纲未单列</t>
  </si>
  <si>
    <t>会用常见情形</t>
  </si>
  <si>
    <t>在连续性足够时，$d/dx\int_{a(x)}^{b(x)}F(x,t)dt=F(x,b)b\prime-F(x,a)a\prime+\int_a^b F_x(x,t)dt$。</t>
  </si>
  <si>
    <t>需保证偏导连续或满足可交换求导积分的条件；统考通常给光滑初等函数，不考一般分析条件。</t>
  </si>
  <si>
    <t>参数积分、积分定义函数求导。</t>
  </si>
  <si>
    <t>多元微分、ODE、积分方程。</t>
  </si>
  <si>
    <t>“被积函数也含参数x”</t>
  </si>
  <si>
    <t>漏积分内偏导；无条件交换求导与积分。</t>
  </si>
  <si>
    <t>变上限、偏导</t>
  </si>
  <si>
    <t>偶见综合，非独立大纲点</t>
  </si>
  <si>
    <t>掌握光滑初等函数的常见应用，知道一般条件不是备考重点。</t>
  </si>
  <si>
    <t>K100</t>
  </si>
  <si>
    <t>和式极限</t>
  </si>
  <si>
    <t>Riemann和极限</t>
  </si>
  <si>
    <t>会把等距和式、偏移采样和非标准区间归一化为积分。</t>
  </si>
  <si>
    <t>典型：$\frac1n\sum_{k=1}^n f(k/n)\to\int_0^1 f(x)dx$；一般需识别 $\Delta x$ 与采样点。</t>
  </si>
  <si>
    <t>函数在区间上可积；若采样点有偏移但落在小区间内，极限通常相同。</t>
  </si>
  <si>
    <t>数列和式极限；双重和式。</t>
  </si>
  <si>
    <t>夹逼、Euler近似（不要求公式）、概率。</t>
  </si>
  <si>
    <t>“n项求和且每项含k/n”</t>
  </si>
  <si>
    <t>积分区间端点错；把 $1/n^p$ 缩放看错；索引平移影响误判。</t>
  </si>
  <si>
    <t>定积分定义</t>
  </si>
  <si>
    <t>2010、2017、2020等</t>
  </si>
  <si>
    <t>能先写 $\Delta x$、区间和采样点三要素，再得到积分。</t>
  </si>
  <si>
    <t>K112</t>
  </si>
  <si>
    <t>Beta/Gamma函数与特殊积分</t>
  </si>
  <si>
    <t>知道不是现行数学一明确考点；不需背特殊函数公式。</t>
  </si>
  <si>
    <t>$\Gamma, B$ 可简化部分反常积分，但未列入数学一大纲。</t>
  </si>
  <si>
    <t>真题若出现相关积分，应能用换元、分部、对称或题设信息解决。</t>
  </si>
  <si>
    <t>概率分布、特殊函数。</t>
  </si>
  <si>
    <t>“Gamma”“Beta”</t>
  </si>
  <si>
    <t>花大量时间记忆特殊函数；用未说明结论跳步。</t>
  </si>
  <si>
    <t>近年无独立考查</t>
  </si>
  <si>
    <t>不作为复习任务；仅在学有余力时了解。</t>
  </si>
  <si>
    <t>K090</t>
  </si>
  <si>
    <t>定积分性质</t>
  </si>
  <si>
    <t>线性、区间可加性与换向</t>
  </si>
  <si>
    <t>熟练拆区间、合并积分与处理上下限反向。</t>
  </si>
  <si>
    <t>$\int_a^b(\alpha f+\beta g)=\alpha\int f+\beta\int g$；$\int_a^b f+\int_b^c f=\int_a^c f$；$\int_b^a f=-\int_a^b f$。</t>
  </si>
  <si>
    <t>函数需在相应区间可积；拆分点可在区间内任意选。</t>
  </si>
  <si>
    <t>积分化简；分段函数积分。</t>
  </si>
  <si>
    <t>变量上限、路径积分分段。</t>
  </si>
  <si>
    <t>“拆成两段”“上下限交换”</t>
  </si>
  <si>
    <t>区间方向符号错；被积函数不同时强行合并。</t>
  </si>
  <si>
    <t>无符号失误地完成区间拼接，尤其是含变量上限与绝对值。</t>
  </si>
  <si>
    <t>K091</t>
  </si>
  <si>
    <t>保序性、绝对值不等式与估计</t>
  </si>
  <si>
    <t>会由点态不等式得到积分不等式。</t>
  </si>
  <si>
    <t>若 $f\le g$，则 $\int f\le\int g$；$|\int f|\le\int|f|$；若 $m\le f\le M$，则 $m(b-a)\le\int_a^b f\le M(b-a)$。</t>
  </si>
  <si>
    <t>需在同一有向区间（通常 $a&lt;b$）几乎处处/处处成立且可积；严格不等式需额外正测度条件。</t>
  </si>
  <si>
    <t>估计积分、证明不等式、夹逼极限。</t>
  </si>
  <si>
    <t>中值定理、级数比较、重积分。</t>
  </si>
  <si>
    <t>“估计”“比较”“非负函数”</t>
  </si>
  <si>
    <t>由积分大小反推点态大小；忽略区间方向。</t>
  </si>
  <si>
    <t>不等式、可积性</t>
  </si>
  <si>
    <t>2010、2012、2024、2026等</t>
  </si>
  <si>
    <t>高频综合</t>
  </si>
  <si>
    <t>能优先寻找点态界、单调界或最大最小值界。</t>
  </si>
  <si>
    <t>K092</t>
  </si>
  <si>
    <t>积分中值定理</t>
  </si>
  <si>
    <t>会把连续函数积分写成函数某点值乘区间长度；掌握加权形式。</t>
  </si>
  <si>
    <t>若 $f\in C[a,b]$，则存在 $\xi$ 使 $\int_a^b f=f(\xi)(b-a)$；若 $g$ 不变号，可有 $\int fg=f(\xi)\int g$。</t>
  </si>
  <si>
    <t>基本形式要求连续；加权形式要求权函数可积且不变号。</t>
  </si>
  <si>
    <t>积分平均值、极限、存在性证明。</t>
  </si>
  <si>
    <t>变量上限、微分中值定理、积分不等式。</t>
  </si>
  <si>
    <t>“存在ξ使积分等于”</t>
  </si>
  <si>
    <t>把ξ当固定中点；权函数变号仍套加权定理。</t>
  </si>
  <si>
    <t>连续、最值定理</t>
  </si>
  <si>
    <t>2010、2019、2025等工具</t>
  </si>
  <si>
    <t>理解本质是连续函数在区间上取到平均值，而非计算ξ。</t>
  </si>
  <si>
    <t>K088</t>
  </si>
  <si>
    <t>定积分概念</t>
  </si>
  <si>
    <t>定积分的Riemann和定义</t>
  </si>
  <si>
    <t>理解分割、取点、最大子区间长度趋零；会识别和式极限。</t>
  </si>
  <si>
    <t>$\int_a^b f(x)dx$ 是所有分割与取点下Riemann和在网格趋零时的共同极限。</t>
  </si>
  <si>
    <t>可积性要求极限与取点方式无关；连续、分段连续、单调有界函数在闭区间可积。</t>
  </si>
  <si>
    <t>把和式极限化为定积分。</t>
  </si>
  <si>
    <t>数列极限、双重积分和、概率期望近似。</t>
  </si>
  <si>
    <t>“$1/n\sum f(k/n)$”“分点”</t>
  </si>
  <si>
    <t>区间长度和采样点对应错；漏前面的 $\Delta x$。</t>
  </si>
  <si>
    <t>数列极限、函数连续</t>
  </si>
  <si>
    <t>能从求和上下限、采样点读出积分区间和被积函数。</t>
  </si>
  <si>
    <t>K089</t>
  </si>
  <si>
    <t>定积分存在性与可积函数</t>
  </si>
  <si>
    <t>掌握连续函数可积；区分原函数存在、定积分存在。</t>
  </si>
  <si>
    <t>闭区间连续函数必Riemann可积；有限个间断点的有界函数通常仍可积（按常见分段连续情形）。</t>
  </si>
  <si>
    <t>无界函数不能作普通Riemann定积分，只能按反常积分讨论；可积不保证有原函数。</t>
  </si>
  <si>
    <t>判断可积性；概念辨析。</t>
  </si>
  <si>
    <t>反常积分、变上限积分。</t>
  </si>
  <si>
    <t>“定积分存在”“有界但不连续”</t>
  </si>
  <si>
    <t>把有界当充分条件；把无界瑕点当普通定积分。</t>
  </si>
  <si>
    <t>概念题低中频</t>
  </si>
  <si>
    <t>掌握核心充分条件与反例，不深挖Riemann可积判据。</t>
  </si>
  <si>
    <t>K093</t>
  </si>
  <si>
    <t>定积分计算</t>
  </si>
  <si>
    <t>定积分换元法</t>
  </si>
  <si>
    <t>会同步换被积函数、微分和上下限；利用对称代换。</t>
  </si>
  <si>
    <t>若 $x=\varphi(t)$ 单调且光滑，$\int_a^b f(x)dx=\int_\alpha^\beta f(\varphi(t))\varphi\prime(t)dt$。</t>
  </si>
  <si>
    <t>上下限由 $a=\varphi(\alpha),b=\varphi(\beta)$ 确定；若代换非单调需分段。</t>
  </si>
  <si>
    <t>计算定积分；对称性变换。</t>
  </si>
  <si>
    <t>二重积分变量替换、参数积分。</t>
  </si>
  <si>
    <t>“令x=a-t”“对称区间”</t>
  </si>
  <si>
    <t>换限后又回代；忽略代换方向导致符号错。</t>
  </si>
  <si>
    <t>不定积分换元</t>
  </si>
  <si>
    <t>熟练使用 $x=a+b-t$、$x=-t$、$x=1/t$ 等对称代换。</t>
  </si>
  <si>
    <t>K094</t>
  </si>
  <si>
    <t>定积分分部积分</t>
  </si>
  <si>
    <t>会保留边界项并处理周期、反常端点。</t>
  </si>
  <si>
    <t>$\int_a^b u v\prime dx=[uv]_a^b-\int_a^b u\prime v dx$。</t>
  </si>
  <si>
    <t>反常积分分部时须先截断，再取极限并检查各项收敛；不能直接代入无穷端点。</t>
  </si>
  <si>
    <t>多项式×指数/三角；积分递推。</t>
  </si>
  <si>
    <t>Fourier、反常积分、ODE。</t>
  </si>
  <si>
    <t>“积分内有乘积”“边界值简洁”</t>
  </si>
  <si>
    <t>漏边界项；无穷端点写 $e^{-\infty}=0$ 而不以极限说明。</t>
  </si>
  <si>
    <t>分部积分</t>
  </si>
  <si>
    <t>2018、2026等</t>
  </si>
  <si>
    <t>能对有界和反常情形区分书写规范。</t>
  </si>
  <si>
    <t>K095</t>
  </si>
  <si>
    <t>对称性与周期性公式</t>
  </si>
  <si>
    <t>会用奇偶、区间中心对称、周期缩短计算。</t>
  </si>
  <si>
    <t>奇函数在 $[-a,a]$ 积分为0，偶函数为 $2\int_0^a$；$\int_a^b f(x)dx=\int_a^b f(a+b-x)dx$；周期函数整周期积分与起点无关。</t>
  </si>
  <si>
    <t>奇偶结论要求定义域/可积区间关于0对称；周期积分需区间长度为整数周期。</t>
  </si>
  <si>
    <t>快速定积分；抽象函数积分。</t>
  </si>
  <si>
    <t>变量上限奇偶性、Fourier。</t>
  </si>
  <si>
    <t>“对称区间”“f(a+b-x)”</t>
  </si>
  <si>
    <t>未验证奇偶；周期区间长度不是整周期。</t>
  </si>
  <si>
    <t>奇偶性、周期性</t>
  </si>
  <si>
    <t>2014、2024等</t>
  </si>
  <si>
    <t>看到对称区间先做奇偶分解或对称代换。</t>
  </si>
  <si>
    <t>K110</t>
  </si>
  <si>
    <t>物理应用</t>
  </si>
  <si>
    <t>功、液体压力、引力</t>
  </si>
  <si>
    <t>会按微元法建立一维积分模型。</t>
  </si>
  <si>
    <t>核心是“总量=\int 局部密度×几何微元”；功 $W=\int F(x)dx$，压力用深度相关压强乘条带面积。</t>
  </si>
  <si>
    <t>单位一致；力/压强随位置变化；引力需按距离平方并明确质量密度。</t>
  </si>
  <si>
    <t>简单物理建模。</t>
  </si>
  <si>
    <t>重积分、曲线/曲面积分物理意义。</t>
  </si>
  <si>
    <t>“变力做功”“压力”“引力”</t>
  </si>
  <si>
    <t>微元选错；把总量常量直接乘；单位遗漏。</t>
  </si>
  <si>
    <t>定积分、几何</t>
  </si>
  <si>
    <t>近年极少直接</t>
  </si>
  <si>
    <t>能写出微元与积分限；不投入复杂物理背景训练。</t>
  </si>
  <si>
    <t>K111</t>
  </si>
  <si>
    <t>质心、平均值与力矩</t>
  </si>
  <si>
    <t>会用加权平均思想列积分。</t>
  </si>
  <si>
    <t>函数平均值 $\bar f=(b-a)^{-1}\int_a^b f$；细杆质心 $\bar x=\int x\rho dx/\int\rho dx$，类似地用一阶矩除质量。</t>
  </si>
  <si>
    <t>密度非负且总质量非零；不同几何对象的微元不同。</t>
  </si>
  <si>
    <t>平均值、质心。</t>
  </si>
  <si>
    <t>重积分质心、概率期望。</t>
  </si>
  <si>
    <t>“平均值”“质心”“密度”</t>
  </si>
  <si>
    <t>分子分母微元不一致；漏总质量。</t>
  </si>
  <si>
    <t>积分中值、加权平均</t>
  </si>
  <si>
    <t>稳定低位</t>
  </si>
  <si>
    <t>理解统一模板，为重积分与概率期望打基础。</t>
  </si>
  <si>
    <t>K085</t>
  </si>
  <si>
    <t>特殊函数积分</t>
  </si>
  <si>
    <t>有理函数积分</t>
  </si>
  <si>
    <t>会多项式除法、部分分式分解并积分。</t>
  </si>
  <si>
    <t>真分式按实因式分解为一次因子幂和不可约二次因子幂，分解后归入对数、幂和反正切型。</t>
  </si>
  <si>
    <t>先保证分子次数低于分母；重根与不可约二次因子的分子形式要完整。</t>
  </si>
  <si>
    <t>有理函数不定/定积分。</t>
  </si>
  <si>
    <t>反常积分、ODE特解。</t>
  </si>
  <si>
    <t>“多项式之比”</t>
  </si>
  <si>
    <t>部分分式漏项；不可约二次分子只写常数而漏一次项。</t>
  </si>
  <si>
    <t>多项式因式分解</t>
  </si>
  <si>
    <t>2017、2025等</t>
  </si>
  <si>
    <t>能对常见二、三次分母快速分解，复杂题可用待定系数。</t>
  </si>
  <si>
    <t>K086</t>
  </si>
  <si>
    <t>三角有理式积分</t>
  </si>
  <si>
    <t>掌握万能代换及利用奇偶幂降次。</t>
  </si>
  <si>
    <t>对 $R(\sin x,\cos x)$ 可令 $t=\tan(x/2)$，使 $\sin x=2t/(1+t^2),\cos x=(1-t^2)/(1+t^2),dx=2dt/(1+t^2)$。</t>
  </si>
  <si>
    <t>万能代换通用但计算可能很大；优先检查某一三角函数奇次或幂次可降。</t>
  </si>
  <si>
    <t>三角有理积分。</t>
  </si>
  <si>
    <t>Fourier、弧长、参数积分。</t>
  </si>
  <si>
    <t>“sin、cos的有理函数”</t>
  </si>
  <si>
    <t>无脑万能代换导致高次有理式；降幂公式符号错。</t>
  </si>
  <si>
    <t>会按“奇次拆一项—偶次降幂—最后万能代换”选择。</t>
  </si>
  <si>
    <t>K087</t>
  </si>
  <si>
    <t>简单无理函数积分</t>
  </si>
  <si>
    <t>会通过根式代换把若干简单无理式有理化。</t>
  </si>
  <si>
    <t>如含 $\sqrt[n]{ax+b}$ 可令其为新变量；含两线性式根的比值可令 $t=\sqrt{(ax+b)/(cx+d)}$。</t>
  </si>
  <si>
    <t>只要求“大纲所称简单无理函数”；复杂椭圆积分不在范围。</t>
  </si>
  <si>
    <t>简单根式不定积分。</t>
  </si>
  <si>
    <t>定积分换元、反常积分。</t>
  </si>
  <si>
    <t>“线性式的根”“简单无理”</t>
  </si>
  <si>
    <t>过度扩展到不可初等积分；代换后漏解回原变量。</t>
  </si>
  <si>
    <t>代数变换</t>
  </si>
  <si>
    <t>掌握常见根式有理化，遇明显非初等积分不强求原函数。</t>
  </si>
  <si>
    <t>K082</t>
  </si>
  <si>
    <t>积分方法</t>
  </si>
  <si>
    <t>第一类换元法（凑微分）</t>
  </si>
  <si>
    <t>识别 $f(\varphi(x))\varphi\prime(x)$ 结构并整体代换。</t>
  </si>
  <si>
    <t>$\int f(\varphi(x))\varphi\prime(x)dx=\int f(u)du$，$u=\varphi(x)$。</t>
  </si>
  <si>
    <t>需连同微分一起替换；不定积分最终回代原变量。</t>
  </si>
  <si>
    <t>复合型不定积分；定积分换元。</t>
  </si>
  <si>
    <t>变量上限积分、微分方程。</t>
  </si>
  <si>
    <t>“内层函数的导数在旁边”</t>
  </si>
  <si>
    <t>只换函数不换微分；定积分换元后不改上下限。</t>
  </si>
  <si>
    <t>能识别对数导数、平方和、指数复合、三角复合等常见凑微分。</t>
  </si>
  <si>
    <t>K083</t>
  </si>
  <si>
    <t>第二类换元法</t>
  </si>
  <si>
    <t>会用三角、根式、倒代换消去根号或有理化。</t>
  </si>
  <si>
    <t>令 $x=\varphi(t)$，则 $\int f(x)dx=\int f(\varphi(t))\varphi\prime(t)dt$；常用 $x=a\sin t,a\tan t,a\sec t$。</t>
  </si>
  <si>
    <t>代换区间应保证单值和根号符号；定积分可直接换限避免回代。</t>
  </si>
  <si>
    <t>含 $\sqrt{a^2-x^2}$、$\sqrt{x^2+a^2}$、$\sqrt{x^2-a^2}$ 的积分。</t>
  </si>
  <si>
    <t>面积、弧长、反常积分。</t>
  </si>
  <si>
    <t>“二次根式”</t>
  </si>
  <si>
    <t>根号化简漏绝对值；三角变量范围未选导致符号错。</t>
  </si>
  <si>
    <t>常见基础方法</t>
  </si>
  <si>
    <t>熟练三类标准根式代换，并能比较欧拉代换是否不必要。</t>
  </si>
  <si>
    <t>K084</t>
  </si>
  <si>
    <t>分部积分法</t>
  </si>
  <si>
    <t>会按“降幂、去对数/反三角、制造递推”选 $u,dv$。</t>
  </si>
  <si>
    <t>$\int u\,dv=uv-\int v\,du$；定积分形式需同时代入边界项。</t>
  </si>
  <si>
    <t>$v$ 必须可方便求出；选择应使剩余积分更简单或形成可解方程。</t>
  </si>
  <si>
    <t>多项式×指数/三角；对数/反三角；递推积分。</t>
  </si>
  <si>
    <t>反常积分、Fourier系数、积分不等式。</t>
  </si>
  <si>
    <t>“乘积”“ln/arctan单独出现”</t>
  </si>
  <si>
    <t>符号错误；边界项漏；反复分部不收敛到可解形式。</t>
  </si>
  <si>
    <t>乘积求导</t>
  </si>
  <si>
    <t>2010、2018、2026等</t>
  </si>
  <si>
    <t>建立优先级：反对幂三指（经验而非定理），并会用表格法控制多次分部。</t>
  </si>
  <si>
    <t>K128</t>
  </si>
  <si>
    <t>向量代数和空间解析几何</t>
  </si>
  <si>
    <t>二次曲面</t>
  </si>
  <si>
    <t>常见二次曲面识别</t>
  </si>
  <si>
    <t>识别椭球、双曲面、椭圆/双曲抛物面、锥面。</t>
  </si>
  <si>
    <t>通过标准方程中平方项符号、常数与缺失项判断；双曲抛物面具有相反符号平方项。</t>
  </si>
  <si>
    <t>标准化前先配方、移轴、缩放；考试多服务于积分区域。</t>
  </si>
  <si>
    <t>识别图形、投影与截面。</t>
  </si>
  <si>
    <t>三重积分、曲面积分。</t>
  </si>
  <si>
    <t>“由二次方程围成区域”</t>
  </si>
  <si>
    <t>名称与开口方向混淆；不看截痕。</t>
  </si>
  <si>
    <t>配方法</t>
  </si>
  <si>
    <t>直接低频，区域工具</t>
  </si>
  <si>
    <t>能从方程快速判断有界性、轴向和投影范围。</t>
  </si>
  <si>
    <t>K121</t>
  </si>
  <si>
    <t>位置关系</t>
  </si>
  <si>
    <t>直线与直线、平面与平面关系</t>
  </si>
  <si>
    <t>会判平行、垂直、相交、异面及夹角。</t>
  </si>
  <si>
    <t>线线看方向向量；面面看法向量；平行后再代点判断重合；线线非平行还需判是否共面。</t>
  </si>
  <si>
    <t>空间中两条不平行直线可能异面；只看方向不够判相交。</t>
  </si>
  <si>
    <t>位置关系、夹角。</t>
  </si>
  <si>
    <t>距离、投影。</t>
  </si>
  <si>
    <t>“相交/异面”“夹角”</t>
  </si>
  <si>
    <t>沿用平面几何思维认为不平行必相交。</t>
  </si>
  <si>
    <t>点积、叉积、混合积</t>
  </si>
  <si>
    <t>建立方向判别＋代点/混合积的两步流程。</t>
  </si>
  <si>
    <t>K122</t>
  </si>
  <si>
    <t>直线与平面关系及夹角</t>
  </si>
  <si>
    <t>会由方向向量与法向量点积判断。</t>
  </si>
  <si>
    <t>线平行面：$s\cdot n=0$；线垂直面：$s\parallel n$；线面夹角 $\alpha$ 满足 $\sin\alpha=|s\cdot n|/(|s||n|)$。</t>
  </si>
  <si>
    <t>平行条件后需判直线是否在平面内；线面夹角取锐角/直角。</t>
  </si>
  <si>
    <t>线面关系、夹角。</t>
  </si>
  <si>
    <t>空间曲线切线与曲面法线。</t>
  </si>
  <si>
    <t>“直线与平面的夹角”</t>
  </si>
  <si>
    <t>用cos而非sin却仍称线面夹角；漏绝对值。</t>
  </si>
  <si>
    <t>点积</t>
  </si>
  <si>
    <t>低频直接</t>
  </si>
  <si>
    <t>能从几何图快速确定使用sin或cos。</t>
  </si>
  <si>
    <t>K113</t>
  </si>
  <si>
    <t>向量基础</t>
  </si>
  <si>
    <t>向量坐标、模与单位向量</t>
  </si>
  <si>
    <t>会由两点求向量、长度、单位化。</t>
  </si>
  <si>
    <t>$\vec a=(a_1,a_2,a_3)$，$|a|=\sqrt{a_1^2+a_2^2+a_3^2}$，非零向量单位化为 $a/|a|$。</t>
  </si>
  <si>
    <t>零向量不能单位化；点与向量需区分。</t>
  </si>
  <si>
    <t>求方向向量、单位法向量。</t>
  </si>
  <si>
    <t>方向导数、曲线切向量、法向量。</t>
  </si>
  <si>
    <t>“单位向量”“由A指向B”</t>
  </si>
  <si>
    <t>方向写反；零向量除以模。</t>
  </si>
  <si>
    <t>空间坐标</t>
  </si>
  <si>
    <t>所有几何题工具</t>
  </si>
  <si>
    <t>坐标运算零错误，并能从几何对象提取方向/法向量。</t>
  </si>
  <si>
    <t>K114</t>
  </si>
  <si>
    <t>线性运算、共线与共面</t>
  </si>
  <si>
    <t>会用比例关系和线性组合判平行/共面。</t>
  </si>
  <si>
    <t>$a\parallel b$ 当且仅当存在 $\lambda$ 使 $a=\lambda b$（非零情形）；三向量共面当且仅当混合积为0。</t>
  </si>
  <si>
    <t>零向量特殊；共面结论是向量自由平移后的线性相关。</t>
  </si>
  <si>
    <t>判平行、共面；求参数。</t>
  </si>
  <si>
    <t>空间直线/平面、线性代数相关性。</t>
  </si>
  <si>
    <t>“平行”“共面”“参数”</t>
  </si>
  <si>
    <t>只比较一个分量比；分量为0时除法失效。</t>
  </si>
  <si>
    <t>向量坐标</t>
  </si>
  <si>
    <t>中频工具</t>
  </si>
  <si>
    <t>优先写向量方程或行列式，不用危险的分量连比。</t>
  </si>
  <si>
    <t>K118</t>
  </si>
  <si>
    <t>方向数与方向余弦</t>
  </si>
  <si>
    <t>会从方向向量得到方向角余弦，反之构造方向向量。</t>
  </si>
  <si>
    <t>若方向向量为 $(l,m,n)$，方向余弦为 $l/s,m/s,n/s$，$s=\sqrt{l^2+m^2+n^2}$，且平方和为1。</t>
  </si>
  <si>
    <t>方向向量可乘任意非零常数；反向方向余弦同时变号。</t>
  </si>
  <si>
    <t>空间直线方向角。</t>
  </si>
  <si>
    <t>方向导数、曲线切线。</t>
  </si>
  <si>
    <t>“方向余弦”“与坐标轴夹角”</t>
  </si>
  <si>
    <t>未单位化；只改变部分符号。</t>
  </si>
  <si>
    <t>单位向量</t>
  </si>
  <si>
    <t>低频直接，工具性</t>
  </si>
  <si>
    <t>会计算即可，不需过度训练抽象方向角。</t>
  </si>
  <si>
    <t>K115</t>
  </si>
  <si>
    <t>向量运算</t>
  </si>
  <si>
    <t>数量积与夹角</t>
  </si>
  <si>
    <t>会求夹角、投影与垂直条件。</t>
  </si>
  <si>
    <t>$a\cdot b=|a||b|\cos\theta$；$a\perp b\Leftrightarrow a\cdot b=0$（非零向量夹角）。</t>
  </si>
  <si>
    <t>夹角取 $[0,\pi]$；投影有标量投影与向量投影之分。</t>
  </si>
  <si>
    <t>求夹角、投影、垂直参数。</t>
  </si>
  <si>
    <t>方向导数、法向量、功。</t>
  </si>
  <si>
    <t>“夹角”“投影”“垂直”</t>
  </si>
  <si>
    <t>忘除模；方向余弦符号错。</t>
  </si>
  <si>
    <t>向量模</t>
  </si>
  <si>
    <t>每年工具性</t>
  </si>
  <si>
    <t>能熟练用点积把几何垂直/夹角转成代数式。</t>
  </si>
  <si>
    <t>K116</t>
  </si>
  <si>
    <t>向量积</t>
  </si>
  <si>
    <t>掌握方向、模和行列式计算。</t>
  </si>
  <si>
    <t>$a\times b$ 垂直于 $a,b$，模为 $|a||b|\sin\theta$；方向按右手定则。</t>
  </si>
  <si>
    <t>交换次序变号；平行时向量积为0；坐标计算注意分量符号。</t>
  </si>
  <si>
    <t>求平面法向量、面积、切向量。</t>
  </si>
  <si>
    <t>Stokes公式、曲面积分方向。</t>
  </si>
  <si>
    <t>“法向量”“平行四边形面积”</t>
  </si>
  <si>
    <t>第二分量符号错；次序反而未变号。</t>
  </si>
  <si>
    <t>行列式</t>
  </si>
  <si>
    <t>曲线曲面积分常用</t>
  </si>
  <si>
    <t>向量积坐标计算达到熟练，明确边界方向与法向对应。</t>
  </si>
  <si>
    <t>K117</t>
  </si>
  <si>
    <t>混合积</t>
  </si>
  <si>
    <t>会判共面并计算平行六面体体积。</t>
  </si>
  <si>
    <t>$[a,b,c]=(a\times b)\cdot c=\det(a,b,c)$；绝对值为体积，等于0表示共面。</t>
  </si>
  <si>
    <t>有向体积随向量次序变号；几何体积取绝对值。</t>
  </si>
  <si>
    <t>判共面、求体积。</t>
  </si>
  <si>
    <t>Jacobian、Gauss/Stokes方向、线性代数行列式。</t>
  </si>
  <si>
    <t>“混合积”“共面”“体积”</t>
  </si>
  <si>
    <t>忘绝对值；行列式行列次序混乱。</t>
  </si>
  <si>
    <t>点积、叉积</t>
  </si>
  <si>
    <t>能将三向量关系迅速写成行列式。</t>
  </si>
  <si>
    <t>K131</t>
  </si>
  <si>
    <t>一般仿射坐标变换与二次曲面分类</t>
  </si>
  <si>
    <t>知道完整主轴变换/矩阵分类属线性代数或解析几何扩展，不是高数常规要求。</t>
  </si>
  <si>
    <t>统考高数侧重标准二次曲面的识别与积分应用，不要求用二次型正交变换系统分类。</t>
  </si>
  <si>
    <t>线性代数二次型仍可能考，但属于线性代数部分，不能从高数章节遗漏中误判。</t>
  </si>
  <si>
    <t>范围辨析。</t>
  </si>
  <si>
    <t>线性代数二次型。</t>
  </si>
  <si>
    <t>“旋转坐标化标准形”</t>
  </si>
  <si>
    <t>把线代二次型任务重复学成高数空间几何。</t>
  </si>
  <si>
    <t>矩阵、二次型</t>
  </si>
  <si>
    <t>高数中不独立考</t>
  </si>
  <si>
    <t>D/边界</t>
  </si>
  <si>
    <t>高数只掌握标准曲面；正交变换按线性代数大纲复习。</t>
  </si>
  <si>
    <t>K119</t>
  </si>
  <si>
    <t>平面与直线</t>
  </si>
  <si>
    <t>平面方程</t>
  </si>
  <si>
    <t>会写点法式、一般式和截距式；从三点求平面。</t>
  </si>
  <si>
    <t>过点 $P_0$、法向量 $n=(A,B,C)$ 的平面：$A(x-x_0)+B(y-y_0)+C(z-z_0)=0$。</t>
  </si>
  <si>
    <t>法向量非零；三点定平面要求不共线。</t>
  </si>
  <si>
    <t>求切平面/给定平面；参数平面。</t>
  </si>
  <si>
    <t>多元切平面、曲面积分。</t>
  </si>
  <si>
    <t>“过点且垂直于向量”“三点确定”</t>
  </si>
  <si>
    <t>法向量与方向向量混淆；常数项代错。</t>
  </si>
  <si>
    <t>能在法向量和方程之间双向转换。</t>
  </si>
  <si>
    <t>K120</t>
  </si>
  <si>
    <t>空间直线方程</t>
  </si>
  <si>
    <t>会写参数式、对称式和两平面交线式。</t>
  </si>
  <si>
    <t>过点 $P_0$、方向向量 $s=(l,m,n)$：$(x,y,z)=P_0+t s$；分量非零时可写对称式。</t>
  </si>
  <si>
    <t>方向分量为0时相应坐标恒定，不能写除以0；两平面交线方向为法向量叉积。</t>
  </si>
  <si>
    <t>求直线方程；两平面交线。</t>
  </si>
  <si>
    <t>空间曲线切线、Stokes边界。</t>
  </si>
  <si>
    <t>“过点且平行于向量”“交线”</t>
  </si>
  <si>
    <t>方向分量为0仍写连比；把法向量当方向。</t>
  </si>
  <si>
    <t>向量、平面</t>
  </si>
  <si>
    <t>参数式作为最稳形式，能由约束方程求交线方向。</t>
  </si>
  <si>
    <t>K125</t>
  </si>
  <si>
    <t>曲面与曲线</t>
  </si>
  <si>
    <t>曲面方程与截痕法</t>
  </si>
  <si>
    <t>理解方程 $F(x,y,z)=0$ 表示曲面；会用坐标平面截痕识别。</t>
  </si>
  <si>
    <t>固定一个坐标得到平面曲线截痕；对称性可由方程中变量的偶次/交换性判断。</t>
  </si>
  <si>
    <t>一个方程在三维通常表示曲面，两个独立方程的交集通常表示曲线。</t>
  </si>
  <si>
    <t>识别曲面、画粗略图。</t>
  </si>
  <si>
    <t>积分区域、切平面、曲面积分。</t>
  </si>
  <si>
    <t>“曲面方程”“截面”</t>
  </si>
  <si>
    <t>把一个方程当空间曲线；截痕范围忽略。</t>
  </si>
  <si>
    <t>多元积分基础工具</t>
  </si>
  <si>
    <t>能识别球、锥、柱、抛物面等并画出关键投影。</t>
  </si>
  <si>
    <t>K126</t>
  </si>
  <si>
    <t>旋转曲面</t>
  </si>
  <si>
    <t>会由平面曲线绕坐标轴旋转写方程。</t>
  </si>
  <si>
    <t>绕x轴旋转时把原方程中的横坐标保留、到x轴距离用 $\sqrt{y^2+z^2}$ 替代；其他轴类推。</t>
  </si>
  <si>
    <t>原曲线所在平面和旋转轴需明确；平方后可能引入额外分支，要结合几何范围。</t>
  </si>
  <si>
    <t>求旋转曲面方程。</t>
  </si>
  <si>
    <t>曲面积分、旋转体。</t>
  </si>
  <si>
    <t>“绕某轴旋转”</t>
  </si>
  <si>
    <t>替换错误坐标；只将一个横向坐标平方而漏另一坐标。</t>
  </si>
  <si>
    <t>平面曲线</t>
  </si>
  <si>
    <t>低频</t>
  </si>
  <si>
    <t>掌握“轴向坐标不变、垂距替换”原则。</t>
  </si>
  <si>
    <t>K127</t>
  </si>
  <si>
    <t>柱面</t>
  </si>
  <si>
    <t>理解缺少某变量表示母线平行相应坐标轴。</t>
  </si>
  <si>
    <t>如 $F(x,y)=0$ 在三维表示母线平行z轴的柱面，准线为xy平面内曲线。</t>
  </si>
  <si>
    <t>“柱面”不限圆柱；缺哪个变量，沿哪个方向无限延伸。</t>
  </si>
  <si>
    <t>识别柱面与积分区域。</t>
  </si>
  <si>
    <t>二重/三重积分。</t>
  </si>
  <si>
    <t>“方程不含z”</t>
  </si>
  <si>
    <t>把所有柱面理解为圆柱；母线方向判断反。</t>
  </si>
  <si>
    <t>常作区域工具</t>
  </si>
  <si>
    <t>看到缺变量立即判断延伸方向。</t>
  </si>
  <si>
    <t>K129</t>
  </si>
  <si>
    <t>空间曲线</t>
  </si>
  <si>
    <t>空间曲线的参数方程与一般方程</t>
  </si>
  <si>
    <t>理解一参数表示曲线；两曲面交线表示一般式。</t>
  </si>
  <si>
    <t>$r(t)=(x(t),y(t),z(t))$；或 $F(x,y,z)=0,G(x,y,z)=0$。</t>
  </si>
  <si>
    <t>参数区间决定曲线段与方向；一般方程需两约束独立。</t>
  </si>
  <si>
    <t>求切线、投影、线积分。</t>
  </si>
  <si>
    <t>曲线积分、Stokes。</t>
  </si>
  <si>
    <t>“空间曲线C由…给出”</t>
  </si>
  <si>
    <t>漏参数范围；重复描迹。</t>
  </si>
  <si>
    <t>参数方程</t>
  </si>
  <si>
    <t>能在参数式与两曲面交线式间切换。</t>
  </si>
  <si>
    <t>K130</t>
  </si>
  <si>
    <t>空间曲线投影</t>
  </si>
  <si>
    <t>会消元并补充投影柱面/投影区域条件。</t>
  </si>
  <si>
    <t>投影到xy平面通常消去z，所得方程加 $z=0$；作为积分投影域时还须保留由存在z产生的不等式。</t>
  </si>
  <si>
    <t>代数消元可能引入多余点，需结合原方程范围；“投影曲线”与“投影柱面”区分。</t>
  </si>
  <si>
    <t>求投影曲线；确定积分区域。</t>
  </si>
  <si>
    <t>二重积分、曲面积分。</t>
  </si>
  <si>
    <t>“在xy平面上的投影”</t>
  </si>
  <si>
    <t>只写消元方程不写范围；把投影边界当整个投影域。</t>
  </si>
  <si>
    <t>消元、曲面</t>
  </si>
  <si>
    <t>重积分常用</t>
  </si>
  <si>
    <t>能用“存在z”条件确定投影不等式。</t>
  </si>
  <si>
    <t>K123</t>
  </si>
  <si>
    <t>距离</t>
  </si>
  <si>
    <t>点到平面与点到直线距离</t>
  </si>
  <si>
    <t>掌握公式及向量几何推导。</t>
  </si>
  <si>
    <t>点到平面 $Ax+By+Cz+D=0$：$|Ax_0+By_0+Cz_0+D|/\sqrt{A^2+B^2+C^2}$；点到线可用 $|\overrightarrow{P_0P}\times s|/|s|$。</t>
  </si>
  <si>
    <t>法向量/方向向量非零；点到线公式中的 $P_0$ 是线上任一点。</t>
  </si>
  <si>
    <t>求最短距离。</t>
  </si>
  <si>
    <t>条件极值、投影。</t>
  </si>
  <si>
    <t>“距离”“最短”</t>
  </si>
  <si>
    <t>平面公式漏绝对值；叉积向量取错。</t>
  </si>
  <si>
    <t>会直接计算，也能用投影/最优化交叉验证。</t>
  </si>
  <si>
    <t>K124</t>
  </si>
  <si>
    <t>平行平面、平行直线与异面直线距离</t>
  </si>
  <si>
    <t>会用投影或混合积公式。</t>
  </si>
  <si>
    <t>平行平面先统一法向量系数再比较常数；异面直线距离为 $|\overrightarrow{P_1P_2}\cdot(s_1\times s_2)|/|s_1\times s_2|$。</t>
  </si>
  <si>
    <t>异面公式要求方向不平行；平行直线另用点到线距离。</t>
  </si>
  <si>
    <t>空间距离综合。</t>
  </si>
  <si>
    <t>混合积、条件极值。</t>
  </si>
  <si>
    <t>“异面直线距离”</t>
  </si>
  <si>
    <t>不先判断关系就套公式；平面方程未归一比例。</t>
  </si>
  <si>
    <t>掌握公式与关系判别，训练少量典型题。</t>
  </si>
  <si>
    <t>K137</t>
  </si>
  <si>
    <t>多元函数微分学</t>
  </si>
  <si>
    <t>偏导数</t>
  </si>
  <si>
    <t>一阶偏导数定义与计算</t>
  </si>
  <si>
    <t>固定其他变量，用一元导数定义求偏导。</t>
  </si>
  <si>
    <t>$f_x(x_0,y_0)=\lim_{h\to0}[f(x_0+h,y_0)-f(x_0,y_0)]/h$，$f_y$ 类似。</t>
  </si>
  <si>
    <t>偏导只考察坐标方向；偏导存在不能保证函数连续或可微。</t>
  </si>
  <si>
    <t>求偏导；分段函数在原点偏导。</t>
  </si>
  <si>
    <t>方向导数、全微分、隐函数。</t>
  </si>
  <si>
    <t>“偏导数”“固定y”</t>
  </si>
  <si>
    <t>将另一个变量也随h变化；用公式跨分段点。</t>
  </si>
  <si>
    <t>一元导数</t>
  </si>
  <si>
    <t>常规偏导熟练，特殊点回定义。</t>
  </si>
  <si>
    <t>K138</t>
  </si>
  <si>
    <t>高阶偏导与混合偏导</t>
  </si>
  <si>
    <t>会计算 $f_{xx},f_{xy},f_{yx},f_{yy}$。</t>
  </si>
  <si>
    <t>混合偏导按求导顺序定义；在相应邻域混合二阶偏导连续时 $f_{xy}=f_{yx}$。</t>
  </si>
  <si>
    <t>混合偏导相等需要条件，不能仅因符号看似对称；特殊点可能不等。</t>
  </si>
  <si>
    <t>求二阶偏导；由混合偏导相等求参数/函数。</t>
  </si>
  <si>
    <t>多元Taylor、恰当微分方程、Hessian。</t>
  </si>
  <si>
    <t>“二阶偏导”“$f_{xy}=f_{yx}$”</t>
  </si>
  <si>
    <t>求导顺序看反；无条件交换混合偏导。</t>
  </si>
  <si>
    <t>一阶偏导</t>
  </si>
  <si>
    <t>能正确读下标顺序，知道连续性是常用充分条件。</t>
  </si>
  <si>
    <t>K157</t>
  </si>
  <si>
    <t>全局最值</t>
  </si>
  <si>
    <t>闭区域上的全局极值</t>
  </si>
  <si>
    <t>会分别考察内部驻点、边界各段和角点。</t>
  </si>
  <si>
    <t>连续函数在有界闭区域取最值；求值时内部解 $\nabla f=0$，边界可参数化、代入降维或用Lagrange，最后比较所有候选值。</t>
  </si>
  <si>
    <t>边界可能分多段且有角点；不能只做内部Hessian。</t>
  </si>
  <si>
    <t>三角形/圆域/曲线边界上的最值。</t>
  </si>
  <si>
    <t>一元闭区间最值、条件极值。</t>
  </si>
  <si>
    <t>“在闭区域D上的最大最小值”</t>
  </si>
  <si>
    <t>漏边界或角点；边界重复/遗漏。</t>
  </si>
  <si>
    <t>闭区间最值、Lagrange</t>
  </si>
  <si>
    <t>2024、2026等</t>
  </si>
  <si>
    <t>建立“内部—每条边—交点/角点—比较值”的清单。</t>
  </si>
  <si>
    <t>K139</t>
  </si>
  <si>
    <t>全微分与可微</t>
  </si>
  <si>
    <t>全微分定义</t>
  </si>
  <si>
    <t>理解增量的线性主部和余项按距离高阶。</t>
  </si>
  <si>
    <t>$\Delta z=A\Delta x+B\Delta y+o(\rho)$，$\rho=\sqrt{\Delta x^2+\Delta y^2}$；可微时 $A=f_x,B=f_y$，$dz=f_xdx+f_ydy$。</t>
  </si>
  <si>
    <t>余项必须相对二维距离为高阶无穷小，不是分别对dx、dy；可微是全方向统一线性近似。</t>
  </si>
  <si>
    <t>判断可微；求全微分。</t>
  </si>
  <si>
    <t>隐函数、误差估计、切平面。</t>
  </si>
  <si>
    <t>“全微分”“线性主部”“可微”</t>
  </si>
  <si>
    <t>把存在偏导当可微；余项只沿坐标轴验证。</t>
  </si>
  <si>
    <t>偏导、二重极限</t>
  </si>
  <si>
    <t>2025、2026等概念背景</t>
  </si>
  <si>
    <t>能从定义检验特殊函数，并理解可微是多元微分学核心节点。</t>
  </si>
  <si>
    <t>K140</t>
  </si>
  <si>
    <t>可微、连续、偏导存在的逻辑关系</t>
  </si>
  <si>
    <t>掌握可微⇒连续且偏导存在；偏导连续是可微的充分条件。</t>
  </si>
  <si>
    <t>可微 $\Rightarrow$ 连续且各偏导存在；若偏导在邻域存在并在点连续，则可微；反向一般不成立。</t>
  </si>
  <si>
    <t>偏导连续是充分非必要；偏导存在甚至所有方向导数存在仍可能不可微。</t>
  </si>
  <si>
    <t>逻辑判断、反例。</t>
  </si>
  <si>
    <t>方向导数、隐函数、极值。</t>
  </si>
  <si>
    <t>“偏导存在/连续/可微关系”</t>
  </si>
  <si>
    <t>把“偏导连续”误作必要条件；用坐标方向信息替代全方向。</t>
  </si>
  <si>
    <t>连续、偏导、全微分定义</t>
  </si>
  <si>
    <t>2010、2021、2025等</t>
  </si>
  <si>
    <t>高频概念</t>
  </si>
  <si>
    <t>熟记逻辑图并准备标准反例，如 $xy/\sqrt{x^2+y^2}$ 类。</t>
  </si>
  <si>
    <t>K141</t>
  </si>
  <si>
    <t>可微性的定义检验</t>
  </si>
  <si>
    <t>会减去线性主部后除以 $\rho$ 求极限。</t>
  </si>
  <si>
    <t>先由偏导确定候选线性主部，再检验 $[\Delta z-f_x\Delta x-f_y\Delta y]/\rho\to0$。</t>
  </si>
  <si>
    <t>不能先假定可微；极限必须对任意路径统一成立。</t>
  </si>
  <si>
    <t>特殊分段二元函数可微性。</t>
  </si>
  <si>
    <t>二重极限、路径法、方向导数。</t>
  </si>
  <si>
    <t>“在原点是否可微”</t>
  </si>
  <si>
    <t>只检验连续或偏导；分母错用 $|\Delta x|+|\Delta y|$ 而不说明等价。</t>
  </si>
  <si>
    <t>全微分定义、二重极限</t>
  </si>
  <si>
    <t>概念选择/证明偶见</t>
  </si>
  <si>
    <t>中频高难</t>
  </si>
  <si>
    <t>能按“连续→偏导→余项”分层判断，不混淆必要条件。</t>
  </si>
  <si>
    <t>K150</t>
  </si>
  <si>
    <t>切平面与法线</t>
  </si>
  <si>
    <t>曲面切平面与法线</t>
  </si>
  <si>
    <t>会对显式/隐式曲面用梯度作法向量。</t>
  </si>
  <si>
    <t>曲面 $F(x,y,z)=0$ 在正则点的法向量为 $\nabla F$；切平面 $\nabla F(P)\cdot(r-P)=0$。</t>
  </si>
  <si>
    <t>$\nabla F(P)\ne0$；显式 $z=f(x,y)$ 可令 $F=f-z$。</t>
  </si>
  <si>
    <t>求切平面、法线；平行/垂直条件。</t>
  </si>
  <si>
    <t>隐函数、方向导数、曲面积分。</t>
  </si>
  <si>
    <t>“曲面在点处切平面”</t>
  </si>
  <si>
    <t>梯度求值点错；把切向量当法向量；梯度为0仍套公式。</t>
  </si>
  <si>
    <t>平面方程、梯度</t>
  </si>
  <si>
    <t>2010、2023、2024等</t>
  </si>
  <si>
    <t>能从曲面方程直接写梯度并核验点在曲面上。</t>
  </si>
  <si>
    <t>K151</t>
  </si>
  <si>
    <t>空间曲线切线与法平面</t>
  </si>
  <si>
    <t>会用参数导向量或两个曲面梯度叉积。</t>
  </si>
  <si>
    <t>参数曲线切向量为 $r\prime(t_0)$；交线 $F=0,G=0$ 的切向量可取 $\nabla F\times\nabla G$；法平面以切向量为法向。</t>
  </si>
  <si>
    <t>相关向量需非零且两梯度不平行；参数曲线速度非零。</t>
  </si>
  <si>
    <t>求切线、法平面。</t>
  </si>
  <si>
    <t>Stokes、曲线积分。</t>
  </si>
  <si>
    <t>“空间曲线在点处切线”</t>
  </si>
  <si>
    <t>把法平面法向量取成曲面法向；叉积顺序只影响方向不影响直线。</t>
  </si>
  <si>
    <t>叉积、空间直线</t>
  </si>
  <si>
    <t>2010、2021等</t>
  </si>
  <si>
    <t>两种表示法都能处理，优先选计算更短者。</t>
  </si>
  <si>
    <t>K142</t>
  </si>
  <si>
    <t>复合函数求导</t>
  </si>
  <si>
    <t>一阶链式法则</t>
  </si>
  <si>
    <t>会画变量依赖图，处理一个或多个中间变量。</t>
  </si>
  <si>
    <t>若 $z=f(u,v),u=u(x,y),v=v(x,y)$，则 $z_x=f_u u_x+f_v v_x$，$z_y=f_u u_y+f_v v_y$。</t>
  </si>
  <si>
    <t>各函数在对应点可微；偏导求值点必须随变量关系代入。</t>
  </si>
  <si>
    <t>多元复合偏导；抽象函数。</t>
  </si>
  <si>
    <t>隐函数、PDE形式计算、ODE。</t>
  </si>
  <si>
    <t>“$z=f(u,v)$，$u=…$”</t>
  </si>
  <si>
    <t>漏路径项；下标变量与求值点混乱。</t>
  </si>
  <si>
    <t>一元链式、偏导</t>
  </si>
  <si>
    <t>2011、2017、2025等</t>
  </si>
  <si>
    <t>变量树或Jacobian矩阵法二选一，确保每条路径都计入。</t>
  </si>
  <si>
    <t>K143</t>
  </si>
  <si>
    <t>二阶复合偏导</t>
  </si>
  <si>
    <t>会在一阶链式结果上再次求导，包含二阶内层项和交叉项。</t>
  </si>
  <si>
    <t>二阶链式由再次逐项求导得到；矩阵形式可写 Hessian 变换加内层二阶项。</t>
  </si>
  <si>
    <t>不能只把一阶系数平方；中间变量非线性时必须保留其二阶导。</t>
  </si>
  <si>
    <t>求 $z_{xx},z_{xy}$；验证微分方程。</t>
  </si>
  <si>
    <t>Taylor、隐函数二阶导。</t>
  </si>
  <si>
    <t>“二阶偏导”“复合函数”</t>
  </si>
  <si>
    <t>交叉项系数2漏；求值点错；漏内层二阶导项。</t>
  </si>
  <si>
    <t>一阶链式、高阶偏导</t>
  </si>
  <si>
    <t>先写一阶再求导，复杂题用变量树逐项核对。</t>
  </si>
  <si>
    <t>K144</t>
  </si>
  <si>
    <t>全微分形式不变性</t>
  </si>
  <si>
    <t>会用 $dz=f_u du+f_v dv$ 统一处理变量替换。</t>
  </si>
  <si>
    <t>一阶全微分形式在可微变量代换下保持：$dz=f_xdx+f_ydy=f_udu+f_vdv$。</t>
  </si>
  <si>
    <t>前提是相关函数可微；二阶全微分在非线性变换下不能简单保持形式。</t>
  </si>
  <si>
    <t>求复合全微分；隐式关系。</t>
  </si>
  <si>
    <t>恰当微分、Jacobian。</t>
  </si>
  <si>
    <t>“全微分形式不变”</t>
  </si>
  <si>
    <t>忽略du、dv继续展开；误用于二阶微分。</t>
  </si>
  <si>
    <t>全微分、链式法则</t>
  </si>
  <si>
    <t>2026概念题背景</t>
  </si>
  <si>
    <t>能用微分法简洁处理复杂一阶链式关系。</t>
  </si>
  <si>
    <t>K152</t>
  </si>
  <si>
    <t>多元Taylor</t>
  </si>
  <si>
    <t>二元函数二阶Taylor公式</t>
  </si>
  <si>
    <t>会在点附近展开到二阶并识别二次型。</t>
  </si>
  <si>
    <t>$f(P+h)=f(P)+\nabla f(P)\cdot h+\frac12 h^T H(P)h+o(\|h\|^2)$。</t>
  </si>
  <si>
    <t>需要二阶可微/相应连续条件；交叉项在展开中系数为 $f_{xy}\Delta x\Delta y$（因二次型的2与1/2抵消）。</t>
  </si>
  <si>
    <t>近似计算；极值充分条件；二重极限。</t>
  </si>
  <si>
    <t>Hessian、线性代数二次型。</t>
  </si>
  <si>
    <t>“二阶Taylor”“驻点附近”</t>
  </si>
  <si>
    <t>交叉项系数错；把一元公式逐变量相加而漏混合项。</t>
  </si>
  <si>
    <t>高阶偏导、矩阵二次型</t>
  </si>
  <si>
    <t>直接低频，极值理论工具</t>
  </si>
  <si>
    <t>能写矩阵形式和展开形式，并据二次型正负判断局部形态。</t>
  </si>
  <si>
    <t>K132</t>
  </si>
  <si>
    <t>多元函数基础</t>
  </si>
  <si>
    <t>多元函数概念、定义域与图形</t>
  </si>
  <si>
    <t>会求二维/三维定义域并解释二元函数图形为曲面。</t>
  </si>
  <si>
    <t>$z=f(x,y)$ 是平面区域 $D\subset\mathbb R^2$ 到实数的单值映射，其图形位于三维空间。</t>
  </si>
  <si>
    <t>定义域由所有表达式约束取交；边界是否包含取决于严格/非严格不等式。</t>
  </si>
  <si>
    <t>求定义域、画投影区域。</t>
  </si>
  <si>
    <t>二重积分、极值、隐函数。</t>
  </si>
  <si>
    <t>“二元函数定义域”“图形”</t>
  </si>
  <si>
    <t>只分别求x、y范围而忽略耦合条件；把定义域画成立体。</t>
  </si>
  <si>
    <t>一元函数定义域、平面区域</t>
  </si>
  <si>
    <t>所有多元题基础</t>
  </si>
  <si>
    <t>能用不等式准确描述并画出平面区域，标清边界归属。</t>
  </si>
  <si>
    <t>K133</t>
  </si>
  <si>
    <t>多元极限与连续</t>
  </si>
  <si>
    <t>二重极限定义</t>
  </si>
  <si>
    <t>理解点以任意路径趋近；会用估计证明极限。</t>
  </si>
  <si>
    <t>$\lim_{(x,y)\to(x_0,y_0)}f=A$ 要求当距离 $\rho=\sqrt{(x-x_0)^2+(y-y_0)^2}\to0$ 时，不依赖路径地趋于A。</t>
  </si>
  <si>
    <t>定义域内所有允许路径都要满足；只沿直线检查不能证明存在。</t>
  </si>
  <si>
    <t>求二重极限；判断不存在。</t>
  </si>
  <si>
    <t>连续、可微、极坐标估计。</t>
  </si>
  <si>
    <t>“(x,y)→(0,0)”</t>
  </si>
  <si>
    <t>仅查 $y=kx$ 后就宣布极限存在；迭代极限代替二重极限。</t>
  </si>
  <si>
    <t>一元函数极限、距离</t>
  </si>
  <si>
    <t>2010、2015等工具</t>
  </si>
  <si>
    <t>证明存在首选极坐标/绝对值估计；否定可找两条路径。</t>
  </si>
  <si>
    <t>K134</t>
  </si>
  <si>
    <t>路径法否定二重极限</t>
  </si>
  <si>
    <t>会选择直线、抛物线或比例路径产生不同极限。</t>
  </si>
  <si>
    <t>若沿两条合法路径得到不同极限或一条路径上极限不存在，则二重极限不存在。</t>
  </si>
  <si>
    <t>路径法只能否定，不能由有限条路径相同证明存在；路径须位于定义域内。</t>
  </si>
  <si>
    <t>判断二重极限不存在。</t>
  </si>
  <si>
    <t>偏导存在但不可微反例、连续性反例。</t>
  </si>
  <si>
    <t>“分子分母同次齐次”“沿不同路径”</t>
  </si>
  <si>
    <t>路径选择没有区分度；用有限条路径证明存在。</t>
  </si>
  <si>
    <t>概念/反例题中常用</t>
  </si>
  <si>
    <t>中频方法</t>
  </si>
  <si>
    <t>能按齐次次数令 $y=kx$，必要时改用 $y=kx^p$。</t>
  </si>
  <si>
    <t>K135</t>
  </si>
  <si>
    <t>极坐标估计二重极限</t>
  </si>
  <si>
    <t>会令 $x=r\cos\theta,y=r\sin\theta$ 并找与角度无关的界。</t>
  </si>
  <si>
    <t>若可证明 $|f(r,\theta)-A|\le C r^\alpha\to0$（$\alpha&gt;0$，C与θ无关），则二重极限为A。</t>
  </si>
  <si>
    <t>界必须对所有角度统一；若结果保留θ依赖通常说明需进一步判断。</t>
  </si>
  <si>
    <t>证明二重极限；判断可微余项。</t>
  </si>
  <si>
    <t>极坐标二重积分、方向导数。</t>
  </si>
  <si>
    <t>“x²+y²”“原点附近”</t>
  </si>
  <si>
    <t>把含θ的表达式直接取固定角；漏统一有界性。</t>
  </si>
  <si>
    <t>三角界、夹逼</t>
  </si>
  <si>
    <t>多元题高频工具</t>
  </si>
  <si>
    <t>能熟练用 $|x|,|y|\le r$ 和齐次阶数估计。</t>
  </si>
  <si>
    <t>K136</t>
  </si>
  <si>
    <t>多元连续性与有界闭区域性质</t>
  </si>
  <si>
    <t>会用极限等于函数值判断；知道紧区域上连续函数有界并取最值。</t>
  </si>
  <si>
    <t>$f$ 在点连续指 $\lim_{(x,y)\to(x_0,y_0)}f=f(x_0,y_0)$；在有界闭区域上连续则有界并取得最大、最小值。</t>
  </si>
  <si>
    <t>区域需闭且有界；边界点按定义域内趋近。</t>
  </si>
  <si>
    <t>判断连续；证明全局最值存在。</t>
  </si>
  <si>
    <t>多元极值、重积分中值。</t>
  </si>
  <si>
    <t>“有界闭区域连续”</t>
  </si>
  <si>
    <t>将一元的左右极限概念照搬；漏区域紧性。</t>
  </si>
  <si>
    <t>二重极限</t>
  </si>
  <si>
    <t>能明确“存在最值”与“求出最值”的不同任务。</t>
  </si>
  <si>
    <t>K158</t>
  </si>
  <si>
    <t>应用与联系</t>
  </si>
  <si>
    <t>最小二乘与二次型极值联系</t>
  </si>
  <si>
    <t>理解平方和极小由正规方程/梯度为零得到，作为线代与高数接口。</t>
  </si>
  <si>
    <t>真题隐含/跨学科</t>
  </si>
  <si>
    <t>二次函数极值可由梯度线性方程求候选，Hessian正定保证唯一全局极小。</t>
  </si>
  <si>
    <t>实际线性代数题按矩阵秩/正定性处理；高数仅提供微分视角。</t>
  </si>
  <si>
    <t>简单拟合或二次函数极值。</t>
  </si>
  <si>
    <t>线性代数正定矩阵、概率最小二乘。</t>
  </si>
  <si>
    <t>“平方误差最小”</t>
  </si>
  <si>
    <t>只解梯度而不检查正定/边界。</t>
  </si>
  <si>
    <t>Hessian、线性方程组</t>
  </si>
  <si>
    <t>统考高数极少直接</t>
  </si>
  <si>
    <t>D/联系</t>
  </si>
  <si>
    <t>理解接口即可，不列为高数专项。</t>
  </si>
  <si>
    <t>K148</t>
  </si>
  <si>
    <t>方向导数与梯度</t>
  </si>
  <si>
    <t>方向导数定义</t>
  </si>
  <si>
    <t>会沿单位方向向量参数化并求极限。</t>
  </si>
  <si>
    <t>$D_{\ell}f(P)=\lim_{t\to0}[f(P+t\ell)-f(P)]/t$，其中 $\ell$ 为单位向量。</t>
  </si>
  <si>
    <t>方向向量必须单位化；方向导数存在不等于可微。</t>
  </si>
  <si>
    <t>按定义求方向导数；特殊点判断。</t>
  </si>
  <si>
    <t>梯度、可微性、最速方向。</t>
  </si>
  <si>
    <t>“沿方向l”“方向导数”</t>
  </si>
  <si>
    <t>未单位化；把梯度模直接当任意方向导数。</t>
  </si>
  <si>
    <t>偏导、向量</t>
  </si>
  <si>
    <t>2019、2025等</t>
  </si>
  <si>
    <t>能区分“给方向向量”与“给方向角”。</t>
  </si>
  <si>
    <t>K149</t>
  </si>
  <si>
    <t>梯度及最大方向导数</t>
  </si>
  <si>
    <t>掌握可微时 $D_\ell f=\nabla f\cdot\ell$；最大值为梯度模。</t>
  </si>
  <si>
    <t>$\nabla f=(f_x,f_y,f_z)$；非零梯度方向是函数增长最快方向，最大方向导数 $|\nabla f|$，最小为其负值。</t>
  </si>
  <si>
    <t>点处可微；方向向量单位化；梯度为0时所有方向导数（由可微公式）为0但不必是极值。</t>
  </si>
  <si>
    <t>求指定/最大方向导数与方向。</t>
  </si>
  <si>
    <t>曲面法向、无约束极值、物理场。</t>
  </si>
  <si>
    <t>“最大方向导数”“增长最快”</t>
  </si>
  <si>
    <t>给出的方向未单位化；梯度为0即判极值。</t>
  </si>
  <si>
    <t>点积、偏导</t>
  </si>
  <si>
    <t>2013、2019、2025</t>
  </si>
  <si>
    <t>能在向量层面解释，不只会代公式。</t>
  </si>
  <si>
    <t>K153</t>
  </si>
  <si>
    <t>无条件极值</t>
  </si>
  <si>
    <t>驻点与必要条件</t>
  </si>
  <si>
    <t>会求梯度为零的驻点，并检查不可偏导点。</t>
  </si>
  <si>
    <t>可微内点取得局部极值的必要条件是 $\nabla f=0$；驻点不一定是极值。</t>
  </si>
  <si>
    <t>只对内点可微情形；边界极值不满足该条件也可存在。</t>
  </si>
  <si>
    <t>求驻点、判断极值。</t>
  </si>
  <si>
    <t>Hessian、全局最值、Lagrange。</t>
  </si>
  <si>
    <t>“二元函数极值”</t>
  </si>
  <si>
    <t>把所有驻点判为极值；漏定义域边界和不可微点。</t>
  </si>
  <si>
    <t>偏导、梯度</t>
  </si>
  <si>
    <t>几乎每年多元大题</t>
  </si>
  <si>
    <t>先枚举候选，再用Hessian/方向/边界判断。</t>
  </si>
  <si>
    <t>K154</t>
  </si>
  <si>
    <t>二元函数二阶充分条件</t>
  </si>
  <si>
    <t>掌握判别式 $D=AC-B^2$。</t>
  </si>
  <si>
    <t>在驻点，令 $A=f_{xx},B=f_{xy},C=f_{yy}$：$D&gt;0,A&gt;0$ 极小；$D&gt;0,A&lt;0$ 极大；$D&lt;0$ 鞍点；$D=0$ 失效。</t>
  </si>
  <si>
    <t>函数二阶偏导在邻域足够连续；$D=0$ 必须另法判断。</t>
  </si>
  <si>
    <t>分类驻点；含参数极值。</t>
  </si>
  <si>
    <t>二元Taylor、线性代数正定性。</t>
  </si>
  <si>
    <t>“判别极值性质”</t>
  </si>
  <si>
    <t>只看D不看A；D=0仍给结论；混合偏导系数用错。</t>
  </si>
  <si>
    <t>二阶偏导</t>
  </si>
  <si>
    <t>2011、2017、2021、2026等</t>
  </si>
  <si>
    <t>判别表必须无误；退化情形会沿路径或高阶项分析。</t>
  </si>
  <si>
    <t>K155</t>
  </si>
  <si>
    <t>退化驻点与路径判断</t>
  </si>
  <si>
    <t>当Hessian判别失效时，会找方向或因式分解判断。</t>
  </si>
  <si>
    <t>若驻点附近函数增量可在不同路径取正、负，则非极值（鞍点）；若可写为非负高阶主项可判极小。</t>
  </si>
  <si>
    <t>沿有限路径同号不能证明全局同号；正面证明需统一估计或代数分解。</t>
  </si>
  <si>
    <t>D=0的极值判断。</t>
  </si>
  <si>
    <t>多元Taylor、二重极限。</t>
  </si>
  <si>
    <t>“判别式等于0”</t>
  </si>
  <si>
    <t>看到一条路径非负就判极小；漏更高阶变号项。</t>
  </si>
  <si>
    <t>路径法、因式分解</t>
  </si>
  <si>
    <t>低频但高难</t>
  </si>
  <si>
    <t>能通过坐标轴、直线族和主项因式分解快速寻找反例。</t>
  </si>
  <si>
    <t>K156</t>
  </si>
  <si>
    <t>条件极值</t>
  </si>
  <si>
    <t>Lagrange乘数法</t>
  </si>
  <si>
    <t>会列 $\nabla f=\lambda\nabla g$ 与约束并解候选。</t>
  </si>
  <si>
    <t>在正则约束 $g(x,y,z)=0$ 上，局部条件极值候选满足 $\nabla f=\lambda\nabla g$。多个约束相应引入多个乘子。</t>
  </si>
  <si>
    <t>$\nabla g\ne0$；方程给必要候选，仍需比较或借紧性判断全局最值。</t>
  </si>
  <si>
    <t>约束极值、最短距离、最大体积。</t>
  </si>
  <si>
    <t>空间几何、全局最值、线性代数特征值。</t>
  </si>
  <si>
    <t>“在约束…下”“最大/最小”</t>
  </si>
  <si>
    <t>漏约束方程；除变量导致漏零解；把候选自动当最值。</t>
  </si>
  <si>
    <t>梯度、方程组</t>
  </si>
  <si>
    <t>2015、2019、2021等</t>
  </si>
  <si>
    <t>能处理一个/两个约束，优先保留对称结构并检查漏解。</t>
  </si>
  <si>
    <t>K145</t>
  </si>
  <si>
    <t>隐函数</t>
  </si>
  <si>
    <t>一个方程确定一个隐函数</t>
  </si>
  <si>
    <t>掌握存在条件及一阶偏导公式。</t>
  </si>
  <si>
    <t>若 $F(x,y,z)=0$ 且 $F_z\ne0$，局部可定 $z=z(x,y)$，且 $z_x=-F_x/F_z,z_y=-F_y/F_z$。</t>
  </si>
  <si>
    <t>偏导在曲面上相应点取值；需满足隐函数定理的连续可微条件。</t>
  </si>
  <si>
    <t>求隐函数偏导、全微分、切平面。</t>
  </si>
  <si>
    <t>多元复合、极值、曲面法向。</t>
  </si>
  <si>
    <t>“由方程确定z=z(x,y)”</t>
  </si>
  <si>
    <t>分子偏导时把z当函数而非独立变量；公式求值点漏代。</t>
  </si>
  <si>
    <t>偏导、隐函数概念</t>
  </si>
  <si>
    <t>2010、2015、2026</t>
  </si>
  <si>
    <t>熟练在“先对独立变量偏导”与“沿隐函数全导”之间区分。</t>
  </si>
  <si>
    <t>K146</t>
  </si>
  <si>
    <t>方程组确定隐函数组</t>
  </si>
  <si>
    <t>会用线性方程组或Jacobian求隐函数偏导。</t>
  </si>
  <si>
    <t>由 $F(x,u,v)=0,G(x,u,v)=0$ 局部确定 $u(x),v(x)$，条件是关于 $(u,v)$ 的Jacobian非零；对x求导后解二元线性方程组。</t>
  </si>
  <si>
    <t>Jacobian必须在指定点非零；Cramer公式符号与变量顺序需一致。</t>
  </si>
  <si>
    <t>隐函数组导数；参数曲线切向量。</t>
  </si>
  <si>
    <t>线性代数、空间曲线。</t>
  </si>
  <si>
    <t>“由方程组确定u,v”</t>
  </si>
  <si>
    <t>Jacobian行列顺序错；直接分别解函数导致复杂。</t>
  </si>
  <si>
    <t>线性方程组、偏导</t>
  </si>
  <si>
    <t>会用隐式求导后解线性系统，不必强求显式解。</t>
  </si>
  <si>
    <t>K147</t>
  </si>
  <si>
    <t>齐次函数与Euler公式</t>
  </si>
  <si>
    <t>会识别齐次性并用Euler公式化简偏导关系。</t>
  </si>
  <si>
    <t>若 $f(tx,ty)=t^m f(x,y)$，则 $x f_x+y f_y=m f$；可继续求导得到高阶关系。</t>
  </si>
  <si>
    <t>函数需可微且缩放保持在定义域；齐次次数可为实数。</t>
  </si>
  <si>
    <t>抽象函数偏导；隐函数关系化简。</t>
  </si>
  <si>
    <t>多元复合、ODE、尺度变换。</t>
  </si>
  <si>
    <t>“齐次函数”“$f(tx,ty)$”</t>
  </si>
  <si>
    <t>把每项次数不一致的函数误判齐次；漏次数m。</t>
  </si>
  <si>
    <t>2010、2026等题型相关</t>
  </si>
  <si>
    <t>稳定/升温</t>
  </si>
  <si>
    <t>能从缩放关系对t求导并在t=1代入，不死背扩展公式。</t>
  </si>
  <si>
    <t>K168</t>
  </si>
  <si>
    <t>多元函数积分学</t>
  </si>
  <si>
    <t>一般变量变换</t>
  </si>
  <si>
    <t>二重积分一般换元与Jacobian</t>
  </si>
  <si>
    <t>会在题目暗示下用 $u=u(x,y),v=v(x,y)$ 线性/非线性变换。</t>
  </si>
  <si>
    <t>真题隐含（大纲未单列一般式）</t>
  </si>
  <si>
    <t>会用常见变换</t>
  </si>
  <si>
    <t>$dA=|\partial(x,y)/\partial(u,v)|dudv$；常见变换把边界线性化或把被积函数组合变量分离。</t>
  </si>
  <si>
    <t>变换在区域内应一一或分片一一，Jacobian不为0；必须取绝对值并变换区域。</t>
  </si>
  <si>
    <t>斜平行四边形、椭圆、和差变量积分。</t>
  </si>
  <si>
    <t>线性代数行列式、概率变量变换。</t>
  </si>
  <si>
    <t>“边界为x+y常数、x−y常数”“椭圆缩放”</t>
  </si>
  <si>
    <t>只变被积函数不变区域；Jacobian倒数用反；漏绝对值。</t>
  </si>
  <si>
    <t>偏导、行列式</t>
  </si>
  <si>
    <t>偶见高难题</t>
  </si>
  <si>
    <t>低中频高价值</t>
  </si>
  <si>
    <t>掌握线性变换和椭圆缩放；一般曲线坐标不作过度扩展。</t>
  </si>
  <si>
    <t>K170</t>
  </si>
  <si>
    <t>三重积分概念</t>
  </si>
  <si>
    <t>三重积分定义与体积/质量意义</t>
  </si>
  <si>
    <t>理解体积微元求和；常量1的积分为体积。</t>
  </si>
  <si>
    <t>$\iiint_\Omega f(x,y,z)dV$；$f\ge0$ 可表示密度总量，$\iiint_\Omega1dV=V(\Omega)$。</t>
  </si>
  <si>
    <t>区域通常有界且函数连续/可积；密度须非负。</t>
  </si>
  <si>
    <t>体积、质量。</t>
  </si>
  <si>
    <t>概率三维密度、Gauss公式。</t>
  </si>
  <si>
    <t>“三重积分”“立体Ω”</t>
  </si>
  <si>
    <t>体积微元与曲面微元混淆。</t>
  </si>
  <si>
    <t>二重积分</t>
  </si>
  <si>
    <t>每年相关题工具</t>
  </si>
  <si>
    <t>能根据立体选择投影法或坐标变换。</t>
  </si>
  <si>
    <t>K160</t>
  </si>
  <si>
    <t>二重积分性质</t>
  </si>
  <si>
    <t>线性、区域可加与保序性</t>
  </si>
  <si>
    <t>会拆分区域、利用正负和对称估计。</t>
  </si>
  <si>
    <t>二重积分满足线性、对不重叠区域可加、保序及 $|\iint f|\le\iint|f|$。</t>
  </si>
  <si>
    <t>区域分割边界对积分无影响；函数在相应区域可积。</t>
  </si>
  <si>
    <t>区域分块、比较积分。</t>
  </si>
  <si>
    <t>积分不等式、对称性、Green公式。</t>
  </si>
  <si>
    <t>“区域由两部分组成”“比较”</t>
  </si>
  <si>
    <t>区域重叠导致重复计数；保序方向写反。</t>
  </si>
  <si>
    <t>能依据图形自然拆区并避免重叠遗漏。</t>
  </si>
  <si>
    <t>K161</t>
  </si>
  <si>
    <t>二重积分中值定理</t>
  </si>
  <si>
    <t>理解连续函数在区域上的平均值。</t>
  </si>
  <si>
    <t>若 $f$ 在有界闭区域D连续，则存在 $(\xi,\eta)\in D$ 使 $\iint_D f=f(\xi,\eta)\,\sigma(D)$。</t>
  </si>
  <si>
    <t>D通常要求有界闭且面积正；只保证存在点，不提供其位置。</t>
  </si>
  <si>
    <t>积分估计、平均值。</t>
  </si>
  <si>
    <t>质心、概率期望、极限。</t>
  </si>
  <si>
    <t>“存在一点使二重积分等于”</t>
  </si>
  <si>
    <t>把该点固定为几何中心；区域面积漏乘。</t>
  </si>
  <si>
    <t>多元连续、最值</t>
  </si>
  <si>
    <t>近年低频直接</t>
  </si>
  <si>
    <t>理解结论并会用于估计，不做复杂证明。</t>
  </si>
  <si>
    <t>K159</t>
  </si>
  <si>
    <t>二重积分概念</t>
  </si>
  <si>
    <t>二重积分定义与几何/物理意义</t>
  </si>
  <si>
    <t>理解面积微元上的Riemann和；常量1的积分为区域面积。</t>
  </si>
  <si>
    <t>$\iint_D f(x,y)d\sigma$ 是区域分割上 $\sum f(\xi_i,\eta_i)\Delta\sigma_i$ 的极限；$f\ge0$ 时可解释为曲顶柱体体积。</t>
  </si>
  <si>
    <t>极限与分割和取点无关；连续函数在有界闭区域上可积。</t>
  </si>
  <si>
    <t>识别和式、几何体积、质量。</t>
  </si>
  <si>
    <t>定积分、概率联合密度、曲面积分。</t>
  </si>
  <si>
    <t>“二重积分定义”“曲顶柱体”</t>
  </si>
  <si>
    <t>把 $d\sigma$ 当普通乘数；忽略区域D。</t>
  </si>
  <si>
    <t>定积分、平面区域</t>
  </si>
  <si>
    <t>所有重积分题基础</t>
  </si>
  <si>
    <t>能从几何和物理两种角度解释被积函数与微元。</t>
  </si>
  <si>
    <t>K169</t>
  </si>
  <si>
    <t>二重积分综合</t>
  </si>
  <si>
    <t>参数区域与积分最值</t>
  </si>
  <si>
    <t>会把参数视为边界位置，用区域单调性、求导或几何解释优化。</t>
  </si>
  <si>
    <t>参数改变积分域时，优先找区域包含关系、对称性或把积分化为一元参数函数后求导。</t>
  </si>
  <si>
    <t>积分域变化的分段点需讨论；直接对参数求导须满足边界光滑或先写累次积分。</t>
  </si>
  <si>
    <t>区域参数最值、比较。</t>
  </si>
  <si>
    <t>多元极值、Green公式。</t>
  </si>
  <si>
    <t>“区域D_a”“使积分最大”</t>
  </si>
  <si>
    <t>忽略参数导致区域拓扑变化；无条件对区域求导。</t>
  </si>
  <si>
    <t>二重积分、极值</t>
  </si>
  <si>
    <t>2021等高难综合</t>
  </si>
  <si>
    <t>低频高难</t>
  </si>
  <si>
    <t>先画不同参数下区域，找临界几何位置，再做解析。</t>
  </si>
  <si>
    <t>K176</t>
  </si>
  <si>
    <t>几何物理应用</t>
  </si>
  <si>
    <t>质量、质心与转动惯量</t>
  </si>
  <si>
    <t>会用密度加权积分统一建模。</t>
  </si>
  <si>
    <t>$M=\iiint\rho dV$（平面薄片用二重积分）；质心坐标为一阶矩除质量；转动惯量为到轴距离平方乘密度积分。</t>
  </si>
  <si>
    <t>密度非负、总质量非零；轴距公式需正确。</t>
  </si>
  <si>
    <t>求质心、惯量。</t>
  </si>
  <si>
    <t>概率期望/方差、线性代数惯性。</t>
  </si>
  <si>
    <t>“密度”“质心”“转动惯量”</t>
  </si>
  <si>
    <t>微元维度错；到轴距离平方写错；漏除总质量。</t>
  </si>
  <si>
    <t>一元质心、距离</t>
  </si>
  <si>
    <t>2010等，近年低频</t>
  </si>
  <si>
    <t>掌握统一模板与常见轴距，训练少量对称题。</t>
  </si>
  <si>
    <t>K177</t>
  </si>
  <si>
    <t>引力与场量积分</t>
  </si>
  <si>
    <t>会写体密度元对指定点的引力分量积分。</t>
  </si>
  <si>
    <t>微元质量 $dm=\rho dV$，引力大小按反平方，向量分量再乘方向余弦。</t>
  </si>
  <si>
    <t>奇点若在物体内可能导致反常积分，常规统考多设置可积/对称情形。</t>
  </si>
  <si>
    <t>简单对称物体引力。</t>
  </si>
  <si>
    <t>向量场、势函数、概率。</t>
  </si>
  <si>
    <t>“引力”“吸引力”</t>
  </si>
  <si>
    <t>只算大小不分量；距离幂次错。</t>
  </si>
  <si>
    <t>向量、三重积分</t>
  </si>
  <si>
    <t>理解建模，不做复杂物理积分专项。</t>
  </si>
  <si>
    <t>K175</t>
  </si>
  <si>
    <t>坐标选择</t>
  </si>
  <si>
    <t>直角/柱/球坐标的选择</t>
  </si>
  <si>
    <t>根据区域对称性与被积函数结构选最简坐标。</t>
  </si>
  <si>
    <t>圆柱对称优先柱坐标，球/锥同心结构优先球坐标；多面体或线性边界优先直角坐标。</t>
  </si>
  <si>
    <t>坐标对称不只看区域，也看被积函数；换坐标后仍可能需分段。</t>
  </si>
  <si>
    <t>三重积分方法选择。</t>
  </si>
  <si>
    <t>对称性、一般变量变换。</t>
  </si>
  <si>
    <t>“球/锥/柱”“只含距离”</t>
  </si>
  <si>
    <t>看到圆就盲用极/球坐标，反而角度复杂；不比较计算量。</t>
  </si>
  <si>
    <t>三种坐标公式</t>
  </si>
  <si>
    <t>所有重积分综合题</t>
  </si>
  <si>
    <t>高频能力</t>
  </si>
  <si>
    <t>在列式前做30秒结构判断，优先让边界与被积函数至少一方显著简化。</t>
  </si>
  <si>
    <t>K178</t>
  </si>
  <si>
    <t>反常重积分与一般测度论条件</t>
  </si>
  <si>
    <t>知道无界区域/奇点重积分不属现行数学一常规核心。</t>
  </si>
  <si>
    <t>大纲未明确/通常不考</t>
  </si>
  <si>
    <t>若题目出现通常会通过坐标变换化成大纲内一元反常积分；不要求Lebesgue积分或一般Fubini/Tonelli理论。</t>
  </si>
  <si>
    <t>不能把无界区域积分当普通有界重积分；但无需学习测度论。</t>
  </si>
  <si>
    <t>概率尾积分。</t>
  </si>
  <si>
    <t>“无界区域重积分”</t>
  </si>
  <si>
    <t>过度扩展到测度论；或无视收敛性。</t>
  </si>
  <si>
    <t>近年无独立理论题</t>
  </si>
  <si>
    <t>只会将简单情形化为一元反常积分并检查收敛。</t>
  </si>
  <si>
    <t>K166</t>
  </si>
  <si>
    <t>极坐标计算</t>
  </si>
  <si>
    <t>极坐标变换与Jacobian</t>
  </si>
  <si>
    <t>掌握 $x=r\cos\theta,y=r\sin\theta,dA=rdrd\theta$。</t>
  </si>
  <si>
    <t>Jacobian绝对值为r；圆、扇形、含 $x^2+y^2$ 的区域/函数常适用。</t>
  </si>
  <si>
    <t>$r\ge0$；角区间避免重复覆盖；原点不影响积分但边界需清楚。</t>
  </si>
  <si>
    <t>圆域、扇域、星形域二重积分。</t>
  </si>
  <si>
    <t>三重柱坐标、一般变量替换。</t>
  </si>
  <si>
    <t>“x²+y²”“圆/扇形”</t>
  </si>
  <si>
    <t>漏Jacobian因子r；角度范围重复或遗漏。</t>
  </si>
  <si>
    <t>三角、极坐标图形</t>
  </si>
  <si>
    <t>画射线扫描，先定θ再定r；公式绝不漏r。</t>
  </si>
  <si>
    <t>K167</t>
  </si>
  <si>
    <t>极坐标区域描述</t>
  </si>
  <si>
    <t>会处理圆心不在原点、两圆交叠、由极坐标曲线围成区域。</t>
  </si>
  <si>
    <t>把边界代入 $x=r\cos\theta,y=r\sin\theta$，求每个θ方向的径向起止；必要时按角度分段。</t>
  </si>
  <si>
    <t>极坐标方程可能有 $r&lt;0$ 的表示歧义，统考通常约定r非负；扫描射线须只覆盖一次。</t>
  </si>
  <si>
    <t>复杂区域极坐标积分。</t>
  </si>
  <si>
    <t>区域变换、参数最优化。</t>
  </si>
  <si>
    <t>“圆与直线交域”“心形线”</t>
  </si>
  <si>
    <t>直接用0到2π造成重复；内外径切换漏分段。</t>
  </si>
  <si>
    <t>极坐标、交点</t>
  </si>
  <si>
    <t>高难重积分常见</t>
  </si>
  <si>
    <t>能以射线法判断角度分界，先区域后计算。</t>
  </si>
  <si>
    <t>K173</t>
  </si>
  <si>
    <t>柱坐标</t>
  </si>
  <si>
    <t>柱坐标变换</t>
  </si>
  <si>
    <t>掌握 $x=r\cos\theta,y=r\sin\theta,z=z,dV=rdrd\theta dz$。</t>
  </si>
  <si>
    <t>适合绕z轴对称或投影为圆域的立体；Jacobian为r。</t>
  </si>
  <si>
    <t>角度、半径、z上下限需按扫描顺序准确描述；漏r为致命错误。</t>
  </si>
  <si>
    <t>圆柱、圆锥、旋转抛物面三重积分。</t>
  </si>
  <si>
    <t>极坐标二重积分、Gauss。</t>
  </si>
  <si>
    <t>“绕z轴旋转”“x²+y²”</t>
  </si>
  <si>
    <t>漏r；把z上下限写成含未积分变量的非法形式。</t>
  </si>
  <si>
    <t>极坐标</t>
  </si>
  <si>
    <t>能在不同积分次序中保持几何限合法。</t>
  </si>
  <si>
    <t>K174</t>
  </si>
  <si>
    <t>球坐标</t>
  </si>
  <si>
    <t>球坐标变换</t>
  </si>
  <si>
    <t>掌握坐标约定与体积元。</t>
  </si>
  <si>
    <t>常用约定 $x=\rho\sin\varphi\cos\theta,y=\rho\sin\varphi\sin\theta,z=\rho\cos\varphi$，$dV=\rho^2\sin\varphi\,d\rho d\varphi d\theta$。</t>
  </si>
  <si>
    <t>$\varphi$ 为与正z轴夹角（需看教材约定），通常 $0\le\varphi\le\pi$；Jacobian不可漏。</t>
  </si>
  <si>
    <t>球、球冠、圆锥内外三重积分。</t>
  </si>
  <si>
    <t>球对称场、Gauss公式、概率正态球对称。</t>
  </si>
  <si>
    <t>“球域”“圆锥＋球”</t>
  </si>
  <si>
    <t>把φ当仰角导致sin/cos互换；漏 $\rho^2\sin\varphi$。</t>
  </si>
  <si>
    <t>三角、球面几何</t>
  </si>
  <si>
    <t>2026等</t>
  </si>
  <si>
    <t>先声明角约定，能由锥面直接读φ范围。</t>
  </si>
  <si>
    <t>K171</t>
  </si>
  <si>
    <t>直角坐标三重积分</t>
  </si>
  <si>
    <t>投影法（先一后二）</t>
  </si>
  <si>
    <t>会把立体写成 $(x,y)\in D,z_1(x,y)\le z\le z_2(x,y)$。</t>
  </si>
  <si>
    <t>$\iiint_\Omega f dV=\iint_D\int_{z_1}^{z_2}f\,dz\,dA$。</t>
  </si>
  <si>
    <t>投影域D由上下曲面存在条件确定；同一投影点上的竖线交集应为单区间。</t>
  </si>
  <si>
    <t>一般立体三重积分。</t>
  </si>
  <si>
    <t>二重积分、曲面积分投影。</t>
  </si>
  <si>
    <t>“介于两曲面之间”“在xy平面投影”</t>
  </si>
  <si>
    <t>投影域只取边界曲线而非内部；上下曲面判反。</t>
  </si>
  <si>
    <t>空间曲面、二重积分</t>
  </si>
  <si>
    <t>常见</t>
  </si>
  <si>
    <t>先确定投影域，再写上下表面；必要时分块。</t>
  </si>
  <si>
    <t>K172</t>
  </si>
  <si>
    <t>截面法（先二后一）</t>
  </si>
  <si>
    <t>会按某坐标切片，利用截面面积或二维积分。</t>
  </si>
  <si>
    <t>$\iiint_\Omega f dV=\int_a^b\iint_{D_z}f(x,y,z)dA\,dz$，若f只依赖z可用截面积 $A(z)$。</t>
  </si>
  <si>
    <t>截面区域随z变化，可能分段；选择使截面简单的轴。</t>
  </si>
  <si>
    <t>旋转体、锥/球截面积分。</t>
  </si>
  <si>
    <t>定积分截面体积、概率边缘化。</t>
  </si>
  <si>
    <t>“截面为圆/椭圆”“被积函数只含z”</t>
  </si>
  <si>
    <t>截面半径/面积写错；z范围漏。</t>
  </si>
  <si>
    <t>平面面积</t>
  </si>
  <si>
    <t>看到分层对称立体优先尝试截面法。</t>
  </si>
  <si>
    <t>K162</t>
  </si>
  <si>
    <t>直角坐标计算</t>
  </si>
  <si>
    <t>X型区域上的累次积分</t>
  </si>
  <si>
    <t>会写 $a\le x\le b,\varphi_1(x)\le y\le\varphi_2(x)$。</t>
  </si>
  <si>
    <t>$\iint_D f\,dA=\int_a^b\int_{\varphi_1(x)}^{\varphi_2(x)}f(x,y)\,dy\,dx$。</t>
  </si>
  <si>
    <t>对每个固定x，竖线与区域交集应为单区间；否则需分块。</t>
  </si>
  <si>
    <t>化二重积分为累次积分；计算。</t>
  </si>
  <si>
    <t>换序、区域分割、三重积分投影法。</t>
  </si>
  <si>
    <t>“先对y积分”“上下曲线”</t>
  </si>
  <si>
    <t>内外限变量依赖写反；跨越图形切换点不分段。</t>
  </si>
  <si>
    <t>平面区域、定积分</t>
  </si>
  <si>
    <t>先画竖线扫描图，准确写上下边界与x投影。</t>
  </si>
  <si>
    <t>K163</t>
  </si>
  <si>
    <t>Y型区域上的累次积分</t>
  </si>
  <si>
    <t>会写 $c\le y\le d,\psi_1(y)\le x\le\psi_2(y)$。</t>
  </si>
  <si>
    <t>$\iint_D f\,dA=\int_c^d\int_{\psi_1(y)}^{\psi_2(y)}f(x,y)\,dx\,dy$。</t>
  </si>
  <si>
    <t>对固定y，水平线截区域为单区间；边界需解成x关于y的函数。</t>
  </si>
  <si>
    <t>换序；选择更易积分的次序。</t>
  </si>
  <si>
    <t>Green公式、卷积型区域。</t>
  </si>
  <si>
    <t>“先对x积分”“改变积分次序”</t>
  </si>
  <si>
    <t>只交换dx,dy不重写上下限；反函数分支漏。</t>
  </si>
  <si>
    <t>X型区域</t>
  </si>
  <si>
    <t>能够在两种扫描方向间切换，以被积函数易积性决定次序。</t>
  </si>
  <si>
    <t>K164</t>
  </si>
  <si>
    <t>改变二重积分次序</t>
  </si>
  <si>
    <t>会从原积分读区域、作图、重分块、重写边界。</t>
  </si>
  <si>
    <t>标准流程：忽略被积函数先还原不等式区域→画关键曲线与交点→按新扫描方向分块→写新限。</t>
  </si>
  <si>
    <t>不能机械交换积分号；新方向可能需两段或更多。</t>
  </si>
  <si>
    <t>换序计算、判断区域。</t>
  </si>
  <si>
    <t>变上限积分、积分不等式。</t>
  </si>
  <si>
    <t>“交换积分次序”“原积分难以内层积分”</t>
  </si>
  <si>
    <t>不画图；交点漏解；新外限仍含内变量。</t>
  </si>
  <si>
    <t>区域描述、反函数</t>
  </si>
  <si>
    <t>能在复杂边界下准确分块，换序后所有内限只依赖外变量。</t>
  </si>
  <si>
    <t>K165</t>
  </si>
  <si>
    <t>利用对称性计算二重积分</t>
  </si>
  <si>
    <t>会识别区域关于坐标轴、原点、直线 $y=x$ 对称。</t>
  </si>
  <si>
    <t>若D关于y轴对称而f关于x为奇，则积分为0；若D关于 $y=x$ 对称，可交换x,y并平均化简。</t>
  </si>
  <si>
    <t>区域与被积函数的变换必须同时匹配；局部对称不够。</t>
  </si>
  <si>
    <t>快速消项、比较积分。</t>
  </si>
  <si>
    <t>极坐标、概率对称分布。</t>
  </si>
  <si>
    <t>“对称区域”“交换x,y”</t>
  </si>
  <si>
    <t>只看被积函数奇偶不看区域；对称轴判断错。</t>
  </si>
  <si>
    <t>函数奇偶、变量替换</t>
  </si>
  <si>
    <t>列出区域对称变换，再看被积函数变号/不变。</t>
  </si>
  <si>
    <t>K197</t>
  </si>
  <si>
    <t>Gauss公式</t>
  </si>
  <si>
    <t>Gauss散度定理</t>
  </si>
  <si>
    <t>会把闭曲面外向通量化为三重积分。</t>
  </si>
  <si>
    <t>$\oiint_{\partial\Omega}\mathbf F\cdot\mathbf n\,dS=\iiint_\Omega\nabla\cdot\mathbf F\,dV$，其中 $\nabla\cdot\mathbf F=P_x+Q_y+R_z$。</t>
  </si>
  <si>
    <t>曲面闭合、取外侧；场在包含立体的区域内有连续一阶偏导，内部无未处理奇点。</t>
  </si>
  <si>
    <t>闭曲面通量；三重积分转换。</t>
  </si>
  <si>
    <t>补面、散度、物理守恒。</t>
  </si>
  <si>
    <t>“闭曲面外侧”“通量”</t>
  </si>
  <si>
    <t>开曲面直接用；内向未变号；散度分量偏导错。</t>
  </si>
  <si>
    <t>三重积分、偏导、朝向</t>
  </si>
  <si>
    <t>2018、2020、2021、2023、2025等</t>
  </si>
  <si>
    <t>公式、条件和外向零错误，能先算散度判断是否极简。</t>
  </si>
  <si>
    <t>K198</t>
  </si>
  <si>
    <t>开曲面补面闭合</t>
  </si>
  <si>
    <t>会添加平面盖、球面片等形成闭曲面。</t>
  </si>
  <si>
    <t>原开面通量=闭曲面外向通量−补面外向通量；必须统一闭合体的外向。</t>
  </si>
  <si>
    <t>补面的朝向由所围体决定，未必是“上侧”；场奇点需检查。</t>
  </si>
  <si>
    <t>侧面/曲面片通量。</t>
  </si>
  <si>
    <t>Gauss、直接投影。</t>
  </si>
  <si>
    <t>“曲面的侧面/不含底面”</t>
  </si>
  <si>
    <t>补面方向错；忘减补面；闭合体选得复杂。</t>
  </si>
  <si>
    <t>Gauss、平面通量</t>
  </si>
  <si>
    <t>2018、2023、2025等</t>
  </si>
  <si>
    <t>先画闭合体并标外法向，再列“总=原+补”。</t>
  </si>
  <si>
    <t>K199</t>
  </si>
  <si>
    <t>奇点与挖球处理</t>
  </si>
  <si>
    <t>会判断场在立体内是否光滑，必要时挖去小球。</t>
  </si>
  <si>
    <t>会用经典情形</t>
  </si>
  <si>
    <t>点源型场在原点无定义时不能直接Gauss覆盖原点；可挖小球并处理内边界朝向，或利用已知球面通量。</t>
  </si>
  <si>
    <t>内边界相对于剩余区域的外向指向洞内；小球通量可能为常数而非0。</t>
  </si>
  <si>
    <t>含奇点的闭曲面通量。</t>
  </si>
  <si>
    <t>Green多连通、物理点源。</t>
  </si>
  <si>
    <t>“除原点外”“封闭曲面包围原点”</t>
  </si>
  <si>
    <t>散度在非奇点处为0就判通量0；内边界方向错。</t>
  </si>
  <si>
    <t>Gauss条件、球坐标</t>
  </si>
  <si>
    <t>经典低频高难</t>
  </si>
  <si>
    <t>公式前扫描分母零点，掌握单点源标准结构。</t>
  </si>
  <si>
    <t>K185</t>
  </si>
  <si>
    <t>Green公式</t>
  </si>
  <si>
    <t>Green公式及正向约定</t>
  </si>
  <si>
    <t>会把闭曲线积分化为二重积分，或反向转换。</t>
  </si>
  <si>
    <t>若D边界L取正向（沿线行进区域在左侧），$\oint_L Pdx+Qdy=\iint_D(Q_x-P_y)dA$。</t>
  </si>
  <si>
    <t>P,Q在包含D的开区域内有连续一阶偏导；D边界分段光滑，内外边界方向规则不同。</t>
  </si>
  <si>
    <t>闭曲线积分、二重积分转换。</t>
  </si>
  <si>
    <t>路径无关、面积公式、开曲线补边。</t>
  </si>
  <si>
    <t>“闭曲线正向”“Pdx+Qdy”</t>
  </si>
  <si>
    <t>被积次序符号写反；顺/逆时针判断错；区域有奇点仍直接用。</t>
  </si>
  <si>
    <t>偏导、二重积分、方向</t>
  </si>
  <si>
    <t>2021、2025、2026等</t>
  </si>
  <si>
    <t>公式与正向条件零错误；用简单例子随时校验符号。</t>
  </si>
  <si>
    <t>K186</t>
  </si>
  <si>
    <t>开曲线补线闭合</t>
  </si>
  <si>
    <t>会增加计算简单的线段/坐标轴弧段，形成闭曲线再用Green。</t>
  </si>
  <si>
    <t>原开曲线积分=闭合曲线积分−补线积分；补线方向必须与闭合正向一致。</t>
  </si>
  <si>
    <t>补线不能穿越场的奇点导致条件失效；闭合区域应易描述。</t>
  </si>
  <si>
    <t>复杂开曲线积分。</t>
  </si>
  <si>
    <t>路径无关、面积、参数法。</t>
  </si>
  <si>
    <t>“曲线不是闭合但与线段围成区域”</t>
  </si>
  <si>
    <t>补线方向符号错；忘减补线；闭合后正向不一致。</t>
  </si>
  <si>
    <t>Green公式、直接线积分</t>
  </si>
  <si>
    <t>2025、2026等</t>
  </si>
  <si>
    <t>中高频高难</t>
  </si>
  <si>
    <t>看到开曲线与端点几何关系，立即比较“直接参数”和“补线Green”成本。</t>
  </si>
  <si>
    <t>K187</t>
  </si>
  <si>
    <t>多连通区域与奇点处理</t>
  </si>
  <si>
    <t>会判断区域内奇点并挖孔或分块。</t>
  </si>
  <si>
    <t>若场在D内有孤立奇点，Green不能直接跨过；可挖去小圆，外边界逆时针、内边界顺时针，再取极限或直接识别环流。</t>
  </si>
  <si>
    <t>奇点是否在区域/曲线上必须检查；小圆贡献不一定趋0。</t>
  </si>
  <si>
    <t>含 $1/(x^2+y^2)$ 场的闭路积分。</t>
  </si>
  <si>
    <t>复变思想（但无需复分析）、拓扑。</t>
  </si>
  <si>
    <t>“原点除外”“闭曲线绕原点”</t>
  </si>
  <si>
    <t>忽略奇点；认为偏导差为0就闭路积分必0。</t>
  </si>
  <si>
    <t>Green条件、极坐标</t>
  </si>
  <si>
    <t>经典题型，近年低频</t>
  </si>
  <si>
    <t>养成公式前扫描分母零点；掌握单个孤立奇点的挖孔思路。</t>
  </si>
  <si>
    <t>K200</t>
  </si>
  <si>
    <t>Stokes公式</t>
  </si>
  <si>
    <t>会把空间闭曲线积分化为任意张成曲面的旋度通量。</t>
  </si>
  <si>
    <t>$\oint_{\partial\Sigma}\mathbf F\cdot d\mathbf r=\iint_\Sigma(\nabla\times\mathbf F)\cdot\mathbf n\,dS$。</t>
  </si>
  <si>
    <t>边界方向与法向满足右手规则；场在曲面附近有连续一阶偏导；曲面可替换但边界相同且不跨奇点。</t>
  </si>
  <si>
    <t>空间闭曲线积分。</t>
  </si>
  <si>
    <t>选简易曲面、旋度、Green（平面特例）。</t>
  </si>
  <si>
    <t>“空间闭曲线”“正向与法向成右手系”</t>
  </si>
  <si>
    <t>旋度行列式符号错；边界方向与法向不匹配；曲线不闭合。</t>
  </si>
  <si>
    <t>叉积、曲面积分</t>
  </si>
  <si>
    <t>2011、2024等</t>
  </si>
  <si>
    <t>能通过选平面/圆盘替代复杂曲面，方向用右手规则核对。</t>
  </si>
  <si>
    <t>K201</t>
  </si>
  <si>
    <t>张成曲面的选择</t>
  </si>
  <si>
    <t>在同一边界下选法向和投影最简单的曲面。</t>
  </si>
  <si>
    <t>Stokes积分只依边界，可用任何满足条件的张成曲面；常把复杂曲面边界替换为平面片。</t>
  </si>
  <si>
    <t>替换曲面必须有完全相同的有向边界，且场在两者间无奇点。</t>
  </si>
  <si>
    <t>复杂空间曲线积分。</t>
  </si>
  <si>
    <t>Gauss、空间几何。</t>
  </si>
  <si>
    <t>“曲线是某曲面的边界”</t>
  </si>
  <si>
    <t>替换后的边界不相同；法向导致边界方向反。</t>
  </si>
  <si>
    <t>Stokes、平面方程</t>
  </si>
  <si>
    <t>2024等</t>
  </si>
  <si>
    <t>先识别边界是否落在平面上，法向从边界方向反推。</t>
  </si>
  <si>
    <t>K205</t>
  </si>
  <si>
    <t>公式选择</t>
  </si>
  <si>
    <t>Green/Gauss/Stokes选择决策</t>
  </si>
  <si>
    <t>根据积分对象维数、是否闭合和方向选择公式。</t>
  </si>
  <si>
    <t>平面闭曲线→Green；闭曲面通量→Gauss；空间闭曲线→Stokes。开对象常先补齐；直接参数/投影始终是备选。</t>
  </si>
  <si>
    <t>公式适用条件、奇点与方向必须逐项核查；不能只按“看见曲线/曲面”套用。</t>
  </si>
  <si>
    <t>综合公式选择题和大题。</t>
  </si>
  <si>
    <t>全部曲线曲面积分。</t>
  </si>
  <si>
    <t>“闭合”“外侧”“右手方向”“平面/空间”</t>
  </si>
  <si>
    <t>公式选错维数；忽略开放性；补面后符号错。</t>
  </si>
  <si>
    <t>三大公式、方向</t>
  </si>
  <si>
    <t>高频核心能力</t>
  </si>
  <si>
    <t>形成决策树，先问：对象是什么、闭不闭、场是否光滑、直接算是否更短。</t>
  </si>
  <si>
    <t>K202</t>
  </si>
  <si>
    <t>向量场微分算子</t>
  </si>
  <si>
    <t>散度</t>
  </si>
  <si>
    <t>会计算并理解局部源汇强度。</t>
  </si>
  <si>
    <t>$\operatorname{div}\mathbf F=P_x+Q_y+R_z$。</t>
  </si>
  <si>
    <t>坐标系为直角坐标的标准公式；场分量需可偏导。</t>
  </si>
  <si>
    <t>直接求散度；配合Gauss。</t>
  </si>
  <si>
    <t>ODE守恒、概率连续性方程（联系）。</t>
  </si>
  <si>
    <t>“散度”“div”</t>
  </si>
  <si>
    <t>错配偏导变量；把散度当向量。</t>
  </si>
  <si>
    <t>偏导</t>
  </si>
  <si>
    <t>计算零错误，能预判散度常数/零时Gauss显著简化。</t>
  </si>
  <si>
    <t>K203</t>
  </si>
  <si>
    <t>旋度</t>
  </si>
  <si>
    <t>会用行列式计算并理解局部旋转。</t>
  </si>
  <si>
    <t>$\nabla\times\mathbf F=(R_y-Q_z,\ P_z-R_x,\ Q_x-P_y)$。</t>
  </si>
  <si>
    <t>三维向量场且分量有连续偏导；二维Green中的标量旋度是第三分量 $Q_x-P_y$。</t>
  </si>
  <si>
    <t>直接求旋度；配合Stokes/保守场。</t>
  </si>
  <si>
    <t>路径无关、Green。</t>
  </si>
  <si>
    <t>“旋度”“curl”</t>
  </si>
  <si>
    <t>分量符号/顺序错；把二维偏导差写反。</t>
  </si>
  <si>
    <t>叉积、偏导</t>
  </si>
  <si>
    <t>通过行列式或循环记忆并用简单场校验符号。</t>
  </si>
  <si>
    <t>K204</t>
  </si>
  <si>
    <t>梯度—散度—旋度恒等式边界</t>
  </si>
  <si>
    <t>知道 $\nabla\times\nabla u=0$、$\nabla\cdot(\nabla\times F)=0$，但不扩展复杂向量分析。</t>
  </si>
  <si>
    <t>真题隐含/教材工具</t>
  </si>
  <si>
    <t>光滑条件下梯度场无旋，旋度场无散；这些是混合偏导相等的结果。</t>
  </si>
  <si>
    <t>需足够光滑；逆命题受区域拓扑条件限制。</t>
  </si>
  <si>
    <t>判断保守场、简化散度/旋度。</t>
  </si>
  <si>
    <t>路径无关、PDE。</t>
  </si>
  <si>
    <t>“梯度场”“无旋场”</t>
  </si>
  <si>
    <t>无旋无条件推出全局势函数；忽略单连通。</t>
  </si>
  <si>
    <t>混合偏导、势函数</t>
  </si>
  <si>
    <t>理解并能用于快速检查，不学习更深微分形式理论。</t>
  </si>
  <si>
    <t>K208</t>
  </si>
  <si>
    <t>微分形式、de Rham理论与复积分</t>
  </si>
  <si>
    <t>知道不属于数学一范围。</t>
  </si>
  <si>
    <t>教材外延/不考</t>
  </si>
  <si>
    <t>Green/Gauss/Stokes在统考中按经典向量分析使用，不要求外微分、流形积分或留数定理。</t>
  </si>
  <si>
    <t>不要用复杂理论替代条件检查与计算。</t>
  </si>
  <si>
    <t>复变函数、微分几何。</t>
  </si>
  <si>
    <t>“外微分”“留数”</t>
  </si>
  <si>
    <t>将竞赛/专业课工具当考研必备。</t>
  </si>
  <si>
    <t>三大公式</t>
  </si>
  <si>
    <t>统考不独立考</t>
  </si>
  <si>
    <t>完全不安排专项；把时间用于方向、奇点、补线补面与直接计算。</t>
  </si>
  <si>
    <t>K184</t>
  </si>
  <si>
    <t>曲线积分关系</t>
  </si>
  <si>
    <t>两类曲线积分的关系</t>
  </si>
  <si>
    <t>会用方向余弦把第二类写成第一类。</t>
  </si>
  <si>
    <t>$dx=\cos\alpha\,ds,dy=\cos\beta\,ds,dz=\cos\gamma\,ds$，故 $\int Pdx+Qdy+Rdz=\int(P\cos\alpha+Q\cos\beta+R\cos\gamma)ds$。</t>
  </si>
  <si>
    <t>方向余弦对应有向单位切向量；第一类本身无方向。</t>
  </si>
  <si>
    <t>类型转换、物理解释。</t>
  </si>
  <si>
    <t>Stokes、向量场。</t>
  </si>
  <si>
    <t>“单位切向量”“两类曲线积分关系”</t>
  </si>
  <si>
    <t>方向余弦符号错；把法向余弦代入。</t>
  </si>
  <si>
    <t>向量点积、弧长</t>
  </si>
  <si>
    <t>直接低频</t>
  </si>
  <si>
    <t>理解为 $\mathbf F\cdot\mathbf T ds$，不机械背分量。</t>
  </si>
  <si>
    <t>K196</t>
  </si>
  <si>
    <t>曲面积分关系</t>
  </si>
  <si>
    <t>两类曲面积分的关系</t>
  </si>
  <si>
    <t>会用单位法向方向余弦转换。</t>
  </si>
  <si>
    <t>$dydz=\cos\alpha\,dS,dzdx=\cos\beta\,dS,dxdy=\cos\gamma\,dS$，故第二类为 $\iint(P\cos\alpha+Q\cos\beta+R\cos\gamma)dS$。</t>
  </si>
  <si>
    <t>方向余弦对应选定朝向的单位法向；反向全部变号。</t>
  </si>
  <si>
    <t>类型转换、球面法向计算。</t>
  </si>
  <si>
    <t>Gauss、通量。</t>
  </si>
  <si>
    <t>“法向量”“方向余弦”</t>
  </si>
  <si>
    <t>方向余弦未单位化；把切向方向余弦代入。</t>
  </si>
  <si>
    <t>单位法向量、第一类积分</t>
  </si>
  <si>
    <t>理解为向量场法向分量乘面积。</t>
  </si>
  <si>
    <t>K206</t>
  </si>
  <si>
    <t>功与环流</t>
  </si>
  <si>
    <t>会把力场沿路径做功写为第二类曲线积分。</t>
  </si>
  <si>
    <t>$W=\int_L\mathbf F\cdot d\mathbf r$；闭路功为环流，保守场闭路功为0。</t>
  </si>
  <si>
    <t>路径方向决定正负；单位与场定义域需一致。</t>
  </si>
  <si>
    <t>力场做功、保守力。</t>
  </si>
  <si>
    <t>势函数、Green/Stokes。</t>
  </si>
  <si>
    <t>“变力沿曲线做功”</t>
  </si>
  <si>
    <t>把第一类积分当功；漏路径方向。</t>
  </si>
  <si>
    <t>点积、第二类线积分</t>
  </si>
  <si>
    <t>能从物理语句识别第二类线积分并检查保守性。</t>
  </si>
  <si>
    <t>K207</t>
  </si>
  <si>
    <t>通量</t>
  </si>
  <si>
    <t>会把流体穿过曲面的流量写为第二类曲面积分。</t>
  </si>
  <si>
    <t>$\Phi=\iint_\Sigma\mathbf F\cdot\mathbf n dS$；闭面外通量可由Gauss求。</t>
  </si>
  <si>
    <t>法向选择决定正负；闭面通常取外向，开放面依题设。</t>
  </si>
  <si>
    <t>流量/电通量/热流。</t>
  </si>
  <si>
    <t>散度、Gauss。</t>
  </si>
  <si>
    <t>“穿过曲面”“流量/通量”</t>
  </si>
  <si>
    <t>用第一类面积积分；未说明法向。</t>
  </si>
  <si>
    <t>第二类曲面积分</t>
  </si>
  <si>
    <t>能把物理方向翻译成法向朝向。</t>
  </si>
  <si>
    <t>K179</t>
  </si>
  <si>
    <t>第一类曲线积分</t>
  </si>
  <si>
    <t>第一类曲线积分概念与性质</t>
  </si>
  <si>
    <t>理解对弧长的积分，与曲线方向无关。</t>
  </si>
  <si>
    <t>$\int_L f(x,y,z)ds$ 是沿曲线按弧长加权的总量；线性、曲线可加，反向不变。</t>
  </si>
  <si>
    <t>曲线分段光滑，f连续；$ds\ge0$，因此无方向符号。</t>
  </si>
  <si>
    <t>判断方向影响；弧长/线密度质量。</t>
  </si>
  <si>
    <t>弧长、第二类曲线积分转换。</t>
  </si>
  <si>
    <t>“对弧长的曲线积分”“ds”</t>
  </si>
  <si>
    <t>改变方向误加负号；把ds与dx混同。</t>
  </si>
  <si>
    <t>一元弧长、参数曲线</t>
  </si>
  <si>
    <t>2011等，近年低中频</t>
  </si>
  <si>
    <t>看到ds立即判断无方向，优先参数化或利用几何弧长。</t>
  </si>
  <si>
    <t>K180</t>
  </si>
  <si>
    <t>参数方程计算第一类曲线积分</t>
  </si>
  <si>
    <t>会代入曲线参数并计算弧长因子。</t>
  </si>
  <si>
    <t>若 $r(t)=(x(t),y(t),z(t))$，则 $ds=|r\prime(t)|dt$，$\int_L fds=\int_\alpha^\beta f(r(t))|r\prime(t)|dt$。</t>
  </si>
  <si>
    <t>参数曲线分段光滑且不必严格单调；重复描迹会重复积分。</t>
  </si>
  <si>
    <t>直接计算空间/平面曲线第一类积分。</t>
  </si>
  <si>
    <t>曲线质量、质心、转动惯量。</t>
  </si>
  <si>
    <t>“曲线由参数方程给出”“ds”</t>
  </si>
  <si>
    <t>漏根号速度；参数区间重复；用有向速度代替模。</t>
  </si>
  <si>
    <t>参数方程、弧长</t>
  </si>
  <si>
    <t>低中频直接</t>
  </si>
  <si>
    <t>能根据几何选最简参数，并检查是否重复描迹。</t>
  </si>
  <si>
    <t>K181</t>
  </si>
  <si>
    <t>显式曲线计算第一类曲线积分</t>
  </si>
  <si>
    <t>会对 $y=y(x)$ 或 $x=x(y)$ 使用弧长公式。</t>
  </si>
  <si>
    <t>$y=y(x)$ 时 $ds=\sqrt{1+y\prime(x)^2}dx$；空间曲线可选适当参数。</t>
  </si>
  <si>
    <t>x需可作为单调参数或曲线按段表示；dx的积分方向不影响最终ds但限需一致。</t>
  </si>
  <si>
    <t>显函数曲线积分。</t>
  </si>
  <si>
    <t>一元积分、曲率。</t>
  </si>
  <si>
    <t>“L:y=f(x)”</t>
  </si>
  <si>
    <t>漏弧长因子；跨竖直切线不分段。</t>
  </si>
  <si>
    <t>掌握公式，优先寻找可使弧长因子简化的参数。</t>
  </si>
  <si>
    <t>K191</t>
  </si>
  <si>
    <t>第一类曲面积分</t>
  </si>
  <si>
    <t>第一类曲面积分概念与性质</t>
  </si>
  <si>
    <t>理解对面积的积分，与曲面朝向无关。</t>
  </si>
  <si>
    <t>$\iint_\Sigma f(x,y,z)dS$ 是面密度加权总量；反转曲面朝向积分不变。</t>
  </si>
  <si>
    <t>曲面分片光滑、f连续；$dS\ge0$。</t>
  </si>
  <si>
    <t>曲面面积、薄壳质量。</t>
  </si>
  <si>
    <t>第二类曲面积分关系、参数曲面。</t>
  </si>
  <si>
    <t>“对面积的曲面积分”“dS”</t>
  </si>
  <si>
    <t>因朝向改变而变号；把dS当投影面积。</t>
  </si>
  <si>
    <t>二重积分、曲面</t>
  </si>
  <si>
    <t>看到dS先判断无方向，选择投影或参数化。</t>
  </si>
  <si>
    <t>K192</t>
  </si>
  <si>
    <t>显式曲面投影计算</t>
  </si>
  <si>
    <t>会把 $z=z(x,y)$ 的面积元化到xy投影。</t>
  </si>
  <si>
    <t>$dS=\sqrt{1+z_x^2+z_y^2}\,dxdy$；投影域为曲面在xy平面的投影。</t>
  </si>
  <si>
    <t>曲面在所选方向上须单值，必要时分片；投影域范围要准确。</t>
  </si>
  <si>
    <t>曲面面积、第一类曲面积分。</t>
  </si>
  <si>
    <t>二重积分、切平面。</t>
  </si>
  <si>
    <t>“曲面z=f(x,y)”</t>
  </si>
  <si>
    <t>漏根号因子；投影域只取边界；选择单值性差的投影。</t>
  </si>
  <si>
    <t>偏导、二重积分</t>
  </si>
  <si>
    <t>比较三个坐标投影，选偏导和区域最简单者。</t>
  </si>
  <si>
    <t>K193</t>
  </si>
  <si>
    <t>参数曲面面积元</t>
  </si>
  <si>
    <t>会用叉积求 $dS=|r_u\times r_v|dudv$。</t>
  </si>
  <si>
    <t>真题隐含/教材常规</t>
  </si>
  <si>
    <t>参数面 $r(u,v)$ 的面积元为两切向量叉积的模。</t>
  </si>
  <si>
    <t>参数化正则且避免重复覆盖；参数域边界明确。</t>
  </si>
  <si>
    <t>球面、旋转面、非显式曲面第一类积分。</t>
  </si>
  <si>
    <t>向量积、第二类曲面积分。</t>
  </si>
  <si>
    <t>“参数曲面”“球面参数化”</t>
  </si>
  <si>
    <t>用叉积本身而非模；参数域重复覆盖。</t>
  </si>
  <si>
    <t>向量积、参数方程</t>
  </si>
  <si>
    <t>掌握球面/圆柱面标准参数化，复杂面优先投影法。</t>
  </si>
  <si>
    <t>K182</t>
  </si>
  <si>
    <t>第二类曲线积分</t>
  </si>
  <si>
    <t>第二类曲线积分概念与方向性</t>
  </si>
  <si>
    <t>理解 $\int Pdx+Qdy+Rdz$ 为向量场沿切向的功。</t>
  </si>
  <si>
    <t>$\int_L\mathbf F\cdot d\mathbf r=\int_L Pdx+Qdy+Rdz$；曲线反向，积分变号。</t>
  </si>
  <si>
    <t>曲线有定向且分段光滑；场在曲线上连续。</t>
  </si>
  <si>
    <t>判断方向、做功。</t>
  </si>
  <si>
    <t>Green、Stokes、势函数。</t>
  </si>
  <si>
    <t>“对坐标的曲线积分”“沿正向”</t>
  </si>
  <si>
    <t>反向不变；把P、Q、R与dx、dy、dz错配。</t>
  </si>
  <si>
    <t>向量点积、参数曲线</t>
  </si>
  <si>
    <t>每年相关工具</t>
  </si>
  <si>
    <t>看到dx/dy/dz立即关注方向和边界起终点。</t>
  </si>
  <si>
    <t>K183</t>
  </si>
  <si>
    <t>参数法直接计算</t>
  </si>
  <si>
    <t>会把 $dx=x\prime dt$ 等代入并按方向定参数区间。</t>
  </si>
  <si>
    <t>$\int_L Pdx+Qdy+Rdz=\int_\alpha^\beta[P x\prime+Q y\prime+R z\prime]dt$。</t>
  </si>
  <si>
    <t>参数方向须与题设一致；场分量在曲线上代入。</t>
  </si>
  <si>
    <t>开曲线、空间曲线第二类积分。</t>
  </si>
  <si>
    <t>势函数、Stokes替代法。</t>
  </si>
  <si>
    <t>“曲线参数式”“从A到B”</t>
  </si>
  <si>
    <t>参数方向反；只代坐标不代微分；漏一分量。</t>
  </si>
  <si>
    <t>参数方程、链式法则</t>
  </si>
  <si>
    <t>2010、2014等</t>
  </si>
  <si>
    <t>对简单曲线直接法应比套公式更快，做到方向零失误。</t>
  </si>
  <si>
    <t>K194</t>
  </si>
  <si>
    <t>第二类曲面积分概念与朝向</t>
  </si>
  <si>
    <t>理解通量积分，曲面反向积分变号。</t>
  </si>
  <si>
    <t>$\iint_\Sigma P\,dydz+Q\,dzdx+R\,dxdy=\iint_\Sigma\mathbf F\cdot\mathbf n\,dS$。</t>
  </si>
  <si>
    <t>曲面须定向；闭曲面“外侧”是标准正向，开曲面需说明上/下、内/外。</t>
  </si>
  <si>
    <t>判断朝向、通量。</t>
  </si>
  <si>
    <t>Gauss、Stokes、第一类曲面积分。</t>
  </si>
  <si>
    <t>“对坐标的曲面积分”“外侧/上侧”</t>
  </si>
  <si>
    <t>朝向反而未变号；微分项与分量错配。</t>
  </si>
  <si>
    <t>向量点积、法向量</t>
  </si>
  <si>
    <t>每年相关</t>
  </si>
  <si>
    <t>看到dydz/dzdx/dxdy立即确定对应P/Q/R及朝向。</t>
  </si>
  <si>
    <t>K195</t>
  </si>
  <si>
    <t>投影法直接计算</t>
  </si>
  <si>
    <t>会根据朝向选择有向投影面积元。</t>
  </si>
  <si>
    <t>对 $z=z(x,y)$ 上侧，$\mathbf n dS=(-z_x,-z_y,1)dxdy$；下侧取相反，故通量为 $\iint[-Pz_x-Qz_y+R]dxdy$（在曲面上代入）。</t>
  </si>
  <si>
    <t>曲面关于投影面单值；其他投影公式按法向分量符号确定，不宜死背而应由法向推导。</t>
  </si>
  <si>
    <t>开曲面通量直接算。</t>
  </si>
  <si>
    <t>Gauss补面、切平面。</t>
  </si>
  <si>
    <t>“曲面上侧/下侧”“投影到xy”</t>
  </si>
  <si>
    <t>法向符号错；P/Q/R未在曲面代入；漏投影域。</t>
  </si>
  <si>
    <t>用有向法向量推导，避免三套公式混淆。</t>
  </si>
  <si>
    <t>K188</t>
  </si>
  <si>
    <t>路径无关与势函数</t>
  </si>
  <si>
    <t>路径无关的等价条件</t>
  </si>
  <si>
    <t>掌握单连通区域中闭路积分为0、路径无关、存在势函数、$P_y=Q_x$ 的联系。</t>
  </si>
  <si>
    <t>在单连通区域且P,Q有连续一阶偏导时，$P_y=Q_x$ 等价于 $Pdx+Qdy$ 为全微分，等价于积分只依端点。</t>
  </si>
  <si>
    <t>单连通性和光滑条件重要；有孔区域中旋度为0未必全局路径无关。</t>
  </si>
  <si>
    <t>判断路径无关；简化积分。</t>
  </si>
  <si>
    <t>恰当微分方程、Green、势能。</t>
  </si>
  <si>
    <t>“与路径无关”“只与端点有关”“全微分”</t>
  </si>
  <si>
    <t>漏区域单连通；偏导交叉写反。</t>
  </si>
  <si>
    <t>混合偏导、Green</t>
  </si>
  <si>
    <t>2010、2019、2026等工具</t>
  </si>
  <si>
    <t>能按条件链双向使用，并主动检查定义域是否有孔。</t>
  </si>
  <si>
    <t>K189</t>
  </si>
  <si>
    <t>势函数求法</t>
  </si>
  <si>
    <t>会由 $u_x=P,u_y=Q$ 积分比较求 $u$。</t>
  </si>
  <si>
    <t>先对x积分：$u=\int Pdx+\phi(y)$，再与 $u_y=Q$ 比较求 $\phi$；三维类似逐变量补“常数函数”。</t>
  </si>
  <si>
    <t>先确认恰当/局部可积；积分常数是其余变量的函数。</t>
  </si>
  <si>
    <t>求势函数；端点代值算积分。</t>
  </si>
  <si>
    <t>恰当方程、保守场、物理势能。</t>
  </si>
  <si>
    <t>“求原函数/势函数u”</t>
  </si>
  <si>
    <t>把积分常数写成普通常数；混合项重复积分。</t>
  </si>
  <si>
    <t>偏导、不定积分</t>
  </si>
  <si>
    <t>熟练“积分一个分量＋比较另一个分量”，答案最后加常数。</t>
  </si>
  <si>
    <t>K190</t>
  </si>
  <si>
    <t>端点法计算保守场线积分</t>
  </si>
  <si>
    <t>若势函数存在，直接用 $u(B)-u(A)$。</t>
  </si>
  <si>
    <t>$\int_A^B du=u(B)-u(A)$，与具体路径无关。</t>
  </si>
  <si>
    <t>A、B须在同一连通分支；路径位于定义域内。</t>
  </si>
  <si>
    <t>复杂路径积分快速计算。</t>
  </si>
  <si>
    <t>微分方程、物理功。</t>
  </si>
  <si>
    <t>“积分与路径无关”“从A到B”</t>
  </si>
  <si>
    <t>端点顺序反；跨越定义域孔洞/分支。</t>
  </si>
  <si>
    <t>势函数</t>
  </si>
  <si>
    <t>优先检查保守性，能节省大量参数计算。</t>
  </si>
  <si>
    <t>K234</t>
  </si>
  <si>
    <t>无穷级数</t>
  </si>
  <si>
    <t>Fourier级数</t>
  </si>
  <si>
    <t>周期函数Fourier系数</t>
  </si>
  <si>
    <t>会按 $[-l,l]$ 或 $[-\pi,\pi]$ 公式计算 $a_0,a_n,b_n$。</t>
  </si>
  <si>
    <t>在 $[-\pi,\pi]$：$a_n=\pi^{-1}\int_{-\pi}^{\pi}f(x)\cos nx\,dx$，$b_n=\pi^{-1}\int f(x)\sin nx\,dx$，级数常数项为 $a_0/2$。</t>
  </si>
  <si>
    <t>周期和区间长度决定系数；分段函数需按段积分。</t>
  </si>
  <si>
    <t>求Fourier系数、展开。</t>
  </si>
  <si>
    <t>定积分分部、奇偶性。</t>
  </si>
  <si>
    <t>“以2π为周期”“Fourier级数”</t>
  </si>
  <si>
    <t>常数项漏1/2；归一化系数错；分段积分限错。</t>
  </si>
  <si>
    <t>三角正交、定积分</t>
  </si>
  <si>
    <t>2012、2023、2024、2025等</t>
  </si>
  <si>
    <t>公式准确，能用奇偶性先砍掉一半系数。</t>
  </si>
  <si>
    <t>K235</t>
  </si>
  <si>
    <t>Dirichlet收敛定理与间断点取值</t>
  </si>
  <si>
    <t>会判断Fourier级数在连续点和跳跃点的和值。</t>
  </si>
  <si>
    <t>满足Dirichlet条件时，Fourier级数在连续点收敛到f(x)，在跳跃点收敛到左右极限平均 $[f(x^-)+f(x^+)]/2$。</t>
  </si>
  <si>
    <t>周期延拓的端点左右极限要按周期连接；定理条件通常为分段光滑/有限极值与间断。</t>
  </si>
  <si>
    <t>求特定点级数和；利用展开求数项和。</t>
  </si>
  <si>
    <t>周期延拓、端点处理。</t>
  </si>
  <si>
    <t>“在x=π处级数的和”</t>
  </si>
  <si>
    <t>端点只取区间内左极限，忘周期延拓右极限；把函数值当和值。</t>
  </si>
  <si>
    <t>左右极限、周期</t>
  </si>
  <si>
    <t>2023、2024、2025等</t>
  </si>
  <si>
    <t>先画一个周期延拓，再取左右平均。</t>
  </si>
  <si>
    <t>K236</t>
  </si>
  <si>
    <t>正弦级数与余弦级数（半区间展开）</t>
  </si>
  <si>
    <t>理解奇延拓产生正弦级数，偶延拓产生余弦级数。</t>
  </si>
  <si>
    <t>在 $(0,l)$ 给定函数，奇延拓到 $(-l,l)$ 得仅正弦项，偶延拓得仅余弦项。</t>
  </si>
  <si>
    <t>端点和值按延拓后的周期函数左右极限平均；延拓方式改变边界行为。</t>
  </si>
  <si>
    <t>半区间Fourier展开。</t>
  </si>
  <si>
    <t>奇偶性、周期延拓。</t>
  </si>
  <si>
    <t>“展开为正弦/余弦级数”</t>
  </si>
  <si>
    <t>奇偶延拓反；系数归一化错。</t>
  </si>
  <si>
    <t>Fourier系数、奇偶性</t>
  </si>
  <si>
    <t>掌握流程和系数公式，训练3—5道典型分段函数。</t>
  </si>
  <si>
    <t>K231</t>
  </si>
  <si>
    <t>Taylor级数</t>
  </si>
  <si>
    <t>函数展开为Taylor级数的条件</t>
  </si>
  <si>
    <t>理解Taylor级数等于函数当且仅当余项趋0。</t>
  </si>
  <si>
    <t>形式Taylor级数由各阶导数决定；函数在邻域等于其Taylor级数需 $R_n(x)\to0$。无穷次可导本身不充分。</t>
  </si>
  <si>
    <t>当前大纲明确要求掌握展开条件；不能把所有光滑函数都等同其Taylor级数。</t>
  </si>
  <si>
    <t>判断能否展开；理论辨析。</t>
  </si>
  <si>
    <t>Taylor公式、解析函数。</t>
  </si>
  <si>
    <t>“能否展开为幂级数”“余项”</t>
  </si>
  <si>
    <t>无穷可导即解析；只写形式级数不验区间。</t>
  </si>
  <si>
    <t>Taylor余项</t>
  </si>
  <si>
    <t>低频概念但重要</t>
  </si>
  <si>
    <t>知道典型反例存在，常用初等函数按标准展开直接使用。</t>
  </si>
  <si>
    <t>K232</t>
  </si>
  <si>
    <t>五个标准Maclaurin展开及收敛域</t>
  </si>
  <si>
    <t>熟记 $e^x,\sin x,\cos x,\ln(1+x),(1+x)^\alpha$。</t>
  </si>
  <si>
    <t>$e^x,\sin x,\cos x$ 全实轴收敛；$\ln(1+x)=\sum_{n\ge1}(-1)^{n-1}x^n/n$ 在 $(-1,1]$；二项式级数通常 $|x|&lt;1$，端点依α判。</t>
  </si>
  <si>
    <t>二项式系数为广义组合数；端点不能统一背成同一结果。</t>
  </si>
  <si>
    <t>直接展开、极限、求和。</t>
  </si>
  <si>
    <t>微分方程、Fourier、数值近似。</t>
  </si>
  <si>
    <t>“展开成x的幂级数”</t>
  </si>
  <si>
    <t>符号与阶乘错；漏收敛域；二项系数写错。</t>
  </si>
  <si>
    <t>Taylor公式、幂级数</t>
  </si>
  <si>
    <t>展开式与核心收敛域默写无误，至少能写前4项和一般项。</t>
  </si>
  <si>
    <t>K233</t>
  </si>
  <si>
    <t>间接展开法</t>
  </si>
  <si>
    <t>通过代换、四则运算、求导积分从标准展开生成目标函数。</t>
  </si>
  <si>
    <t>常见流程：选母式→把内变量替换为 $\varphi(x)$→乘除简单因子→必要时逐项微分/积分→确定收敛域。</t>
  </si>
  <si>
    <t>复合后要求 $|\varphi(x)|$ 落在母式收敛域；除法需分母常数项非零并控制展开阶数。</t>
  </si>
  <si>
    <t>有理、反三角、复合函数展开。</t>
  </si>
  <si>
    <t>极限、ODE幂级数解法（仅简单）。</t>
  </si>
  <si>
    <t>“利用已知展开”</t>
  </si>
  <si>
    <t>只写形式不写收敛区间；复合变量阶数预算错。</t>
  </si>
  <si>
    <t>标准展开、幂级数运算</t>
  </si>
  <si>
    <t>能从几何、对数、二项式母式生成常考函数。</t>
  </si>
  <si>
    <t>K221</t>
  </si>
  <si>
    <t>一般项级数</t>
  </si>
  <si>
    <t>绝对收敛与条件收敛</t>
  </si>
  <si>
    <t>掌握绝对收敛⇒收敛；会分类。</t>
  </si>
  <si>
    <t>若 $\sum|u_n|$ 收敛则 $\sum u_n$ 绝对收敛；若原级数收敛而绝对值级数发散，则条件收敛。</t>
  </si>
  <si>
    <t>逆命题不成立；条件收敛级数的重排性质不作为计算核心但需知道不能随意重排。</t>
  </si>
  <si>
    <t>判断绝对/条件收敛；逻辑题。</t>
  </si>
  <si>
    <t>幂级数端点、Fourier。</t>
  </si>
  <si>
    <t>“绝对收敛/条件收敛”</t>
  </si>
  <si>
    <t>只判原级数收敛就称绝对；把绝对值内和拆错。</t>
  </si>
  <si>
    <t>正项判别、交错判别</t>
  </si>
  <si>
    <t>固定流程：先判绝对值；若不绝对，再判原级数。</t>
  </si>
  <si>
    <t>K222</t>
  </si>
  <si>
    <t>判敛方法决策树</t>
  </si>
  <si>
    <t>能先识别正项/交错/一般项，再选比较、比值、根值、积分或拆分。</t>
  </si>
  <si>
    <t>优先级常为：通项趋0检查→绝对值→结构识别；阶乘用比值，n次幂用根值，幂/对数用比较或积分，交错再用Leibniz。</t>
  </si>
  <si>
    <t>没有万能顺序；临界值1时必须更换方法；一般项不能未经绝对值直接用正项判别。</t>
  </si>
  <si>
    <t>综合判敛。</t>
  </si>
  <si>
    <t>Taylor、反常积分、极限。</t>
  </si>
  <si>
    <t>“判断级数敛散性”</t>
  </si>
  <si>
    <t>方法乱用；在比值法极限1处反复变形；只判一半。</t>
  </si>
  <si>
    <t>本章全部判别法</t>
  </si>
  <si>
    <t>每年核心能力</t>
  </si>
  <si>
    <t>看到通项30秒内选出首选与备用方法，并完整分类。</t>
  </si>
  <si>
    <t>K220</t>
  </si>
  <si>
    <t>交错级数</t>
  </si>
  <si>
    <t>Leibniz判别法与误差估计</t>
  </si>
  <si>
    <t>会核验绝对值单调趋0，并估计余项。</t>
  </si>
  <si>
    <t>若 $a_n\downarrow0$，则 $\sum(-1)^{n-1}a_n$ 收敛，且截断余项绝对值不超过首个舍去项。</t>
  </si>
  <si>
    <t>只需最终单调；符号严格交错；该法只给收敛，不给绝对收敛。</t>
  </si>
  <si>
    <t>交错级数判敛、近似误差。</t>
  </si>
  <si>
    <t>条件收敛、Taylor交错级数。</t>
  </si>
  <si>
    <t>“(-1)^n”“交错”</t>
  </si>
  <si>
    <t>只看趋0不看单调；由Leibniz判定绝对收敛。</t>
  </si>
  <si>
    <t>单调性、必要条件</t>
  </si>
  <si>
    <t>判敛后必须再检查绝对值级数，完成绝对/条件分类。</t>
  </si>
  <si>
    <t>K223</t>
  </si>
  <si>
    <t>函数项级数</t>
  </si>
  <si>
    <t>收敛点、收敛域与和函数</t>
  </si>
  <si>
    <t>理解固定x后成为数项级数；会求收敛集合。</t>
  </si>
  <si>
    <t>$\sum u_n(x)$ 在使数项级数收敛的x上定义和函数 $S(x)$；所有收敛点组成收敛域。</t>
  </si>
  <si>
    <t>收敛域可不是区间（一般函数项级数）；幂级数则有特殊区间结构。</t>
  </si>
  <si>
    <t>求收敛域；定义和函数。</t>
  </si>
  <si>
    <t>幂级数、Fourier级数。</t>
  </si>
  <si>
    <t>“函数项级数收敛域”</t>
  </si>
  <si>
    <t>把逐点收敛与一致收敛混淆；不固定x就套数项判别。</t>
  </si>
  <si>
    <t>数项级数</t>
  </si>
  <si>
    <t>2021等</t>
  </si>
  <si>
    <t>能把问题转成含参数x的数项级数并分情况。</t>
  </si>
  <si>
    <t>K229</t>
  </si>
  <si>
    <t>和函数</t>
  </si>
  <si>
    <t>由幂级数求和函数</t>
  </si>
  <si>
    <t>会通过逐项微分/积分建立可识别函数或微分方程。</t>
  </si>
  <si>
    <t>把 $S(x)=\sum a_nx^n$ 变换为 $S\prime$、积分或代数关系，解出S并用 $S(0)$ 定常数。</t>
  </si>
  <si>
    <t>操作仅在收敛区间内；所得闭式的定义域不等于原级数收敛域。</t>
  </si>
  <si>
    <t>求幂级数和函数。</t>
  </si>
  <si>
    <t>ODE、函数方程、积分。</t>
  </si>
  <si>
    <t>“求和函数S(x)”</t>
  </si>
  <si>
    <t>得到闭式后忘写收敛区间；常数由初值求错。</t>
  </si>
  <si>
    <t>逐项运算、微分方程</t>
  </si>
  <si>
    <t>2018、2020、2025等</t>
  </si>
  <si>
    <t>能识别系数递推与导数关系，完整给出“闭式＋收敛域”。</t>
  </si>
  <si>
    <t>K230</t>
  </si>
  <si>
    <t>由和函数求数项级数和</t>
  </si>
  <si>
    <t>选择收敛域内特殊x代入，或用导数/积分组合。</t>
  </si>
  <si>
    <t>若已得 $S(x)$，在端点合法时可代入目标x；含n因子可用 $xS\prime(x)$，含 $1/(n+k)$ 可用积分。</t>
  </si>
  <si>
    <t>特殊点必须属于收敛域；端点交换极限需按题目与级数性质核查。</t>
  </si>
  <si>
    <t>求含n、n²、分母n+k的级数和。</t>
  </si>
  <si>
    <t>Taylor展开、概率矩。</t>
  </si>
  <si>
    <t>“求数项级数的和”</t>
  </si>
  <si>
    <t>代入发散端点；指标平移漏前项。</t>
  </si>
  <si>
    <t>和函数、端点判敛</t>
  </si>
  <si>
    <t>2013、2025等</t>
  </si>
  <si>
    <t>先把目标系数模式匹配到求导/积分算子。</t>
  </si>
  <si>
    <t>K213</t>
  </si>
  <si>
    <t>基本级数</t>
  </si>
  <si>
    <t>几何级数</t>
  </si>
  <si>
    <t>熟记收敛条件与和。</t>
  </si>
  <si>
    <t>$\sum_{n=0}^\infty aq^n$ 在 $|q|&lt;1$ 时和为 $a/(1-q)$，$|q|\ge1$ 发散（除退化a=0）。</t>
  </si>
  <si>
    <t>注意起始指数与首项；比值可为负。</t>
  </si>
  <si>
    <t>直接求和、比较、幂级数。</t>
  </si>
  <si>
    <t>常系数ODE、概率分布。</t>
  </si>
  <si>
    <t>“等比”“q^n”</t>
  </si>
  <si>
    <t>把公比符号忽略；首项/起始项错。</t>
  </si>
  <si>
    <t>数列等比和</t>
  </si>
  <si>
    <t>能快速调整起始项并用于函数展开。</t>
  </si>
  <si>
    <t>K214</t>
  </si>
  <si>
    <t>$p$ 级数</t>
  </si>
  <si>
    <t>熟记 $\sum1/n^p$ 的阈值。</t>
  </si>
  <si>
    <t>$\sum_{n=1}^\infty n^{-p}$ 收敛当且仅当 $p&gt;1$。</t>
  </si>
  <si>
    <t>$p=1$ 调和级数发散；与零端反常积分阈值不要混淆。</t>
  </si>
  <si>
    <t>参数判敛、比较基准。</t>
  </si>
  <si>
    <t>积分判别、反常积分。</t>
  </si>
  <si>
    <t>“与1/n^p同阶”</t>
  </si>
  <si>
    <t>阈值方向记反；临界p=1误判。</t>
  </si>
  <si>
    <t>幂函数</t>
  </si>
  <si>
    <t>作为正项比较的第一标准模型。</t>
  </si>
  <si>
    <t>K237</t>
  </si>
  <si>
    <t>一致收敛、Weierstrass判别与一般函数列</t>
  </si>
  <si>
    <t>知道不是现行数学一要求；逐项运算只对幂级数按大纲结论使用。</t>
  </si>
  <si>
    <t>大纲未列/通常不考</t>
  </si>
  <si>
    <t>函数项级数的一致收敛、M判别、交换极限的一般定理属于数学分析扩展。</t>
  </si>
  <si>
    <t>不要用未要求的统一收敛理论替代幂级数内部逐项运算结论。</t>
  </si>
  <si>
    <t>数学分析。</t>
  </si>
  <si>
    <t>“一致收敛”</t>
  </si>
  <si>
    <t>为解决幂级数题学习整套数学分析证明，投入产出低。</t>
  </si>
  <si>
    <t>不安排专项，仅知道逐项运算在收敛区间内部合法。</t>
  </si>
  <si>
    <t>K238</t>
  </si>
  <si>
    <t>一般项级数的Dirichlet/Abel判别与凝聚判别</t>
  </si>
  <si>
    <t>知道未在现行大纲明确列出。</t>
  </si>
  <si>
    <t>Dirichlet、Abel、Cauchy凝聚可判更一般级数，但考研数学一常规题可由列明方法或题设解决。</t>
  </si>
  <si>
    <t>Fourier的Dirichlet收敛定理是大纲内容，不要与数项级数Dirichlet判别混淆。</t>
  </si>
  <si>
    <t>反常积分、Fourier。</t>
  </si>
  <si>
    <t>“Dirichlet判别法”</t>
  </si>
  <si>
    <t>把同名定理混淆；用超纲判别跳过条件。</t>
  </si>
  <si>
    <t>基本判别法</t>
  </si>
  <si>
    <t>近年未独立考</t>
  </si>
  <si>
    <t>识别名称即可；优先熟练比较、比值、根值、积分、Leibniz。</t>
  </si>
  <si>
    <t>K224</t>
  </si>
  <si>
    <t>幂级数</t>
  </si>
  <si>
    <t>幂级数收敛结构与半径</t>
  </si>
  <si>
    <t>理解中心内绝对收敛、外发散、端点另判。</t>
  </si>
  <si>
    <t>$\sum a_n(x-x_0)^n$ 存在收敛半径R：$|x-x_0|&lt;R$ 绝对收敛，$|x-x_0|&gt;R$ 发散，端点单独判断。</t>
  </si>
  <si>
    <t>R可为0或∞；端点不能由半径判定。</t>
  </si>
  <si>
    <t>求收敛区间/域。</t>
  </si>
  <si>
    <t>比值/根值、条件收敛。</t>
  </si>
  <si>
    <t>“幂级数”“收敛半径”</t>
  </si>
  <si>
    <t>求出R后忘检端点；中心不在0时区间错位。</t>
  </si>
  <si>
    <t>2011、2022、2026等</t>
  </si>
  <si>
    <t>固定三步：求R→写开区间→逐端点代回原级数。</t>
  </si>
  <si>
    <t>K225</t>
  </si>
  <si>
    <t>收敛半径计算</t>
  </si>
  <si>
    <t>会用系数比值/根值或识别已知级数变换。</t>
  </si>
  <si>
    <t>若 $\lim|a_{n+1}/a_n|=L$，则 $R=1/L$；更一般 $R=1/\limsup\sqrt[n]{|a_n|}$。</t>
  </si>
  <si>
    <t>题中可能缺项或只含偶次/倍数次，不能机械按相邻非零系数；可令新变量。</t>
  </si>
  <si>
    <t>含阶乘/偶次项幂级数半径。</t>
  </si>
  <si>
    <t>复合变量、导数积分运算。</t>
  </si>
  <si>
    <t>“只含x^{2n}”“系数含n!”</t>
  </si>
  <si>
    <t>把变量因子漏进比值；缺项时错误套相邻系数公式。</t>
  </si>
  <si>
    <t>比值/根值判别</t>
  </si>
  <si>
    <t>对稀疏幂次先令 $t=(x-x_0)^m$ 或直接对通项做根值。</t>
  </si>
  <si>
    <t>K226</t>
  </si>
  <si>
    <t>端点敛散性</t>
  </si>
  <si>
    <t>将端点代入原级数，分别用数项级数方法判断。</t>
  </si>
  <si>
    <t>半径只确定开区间；左右端点可分别绝对、条件收敛或发散，组合独立。</t>
  </si>
  <si>
    <t>必须代入原始通项，不能只看简化过程中丢失的符号/系数。</t>
  </si>
  <si>
    <t>求收敛区间、绝对/条件集合。</t>
  </si>
  <si>
    <t>交错、p级数。</t>
  </si>
  <si>
    <t>“收敛区间包含端点吗”</t>
  </si>
  <si>
    <t>两个端点一起判；只写“待定”不完成。</t>
  </si>
  <si>
    <t>数项判敛</t>
  </si>
  <si>
    <t>每端点独立写一行，明确绝对/条件/发散。</t>
  </si>
  <si>
    <t>K227</t>
  </si>
  <si>
    <t>幂级数运算</t>
  </si>
  <si>
    <t>逐项求导与逐项积分</t>
  </si>
  <si>
    <t>掌握收敛半径不变，端点可能改变。</t>
  </si>
  <si>
    <t>在 $|x-x_0|&lt;R$ 内可逐项求导/积分；新级数半径仍为R，端点需重新判。</t>
  </si>
  <si>
    <t>操作结论在收敛区间内部成立；积分常数需由初值确定。</t>
  </si>
  <si>
    <t>求和函数、展开式、数项和。</t>
  </si>
  <si>
    <t>微积分基本定理、ODE。</t>
  </si>
  <si>
    <t>“对幂级数逐项积分/求导”</t>
  </si>
  <si>
    <t>沿用原端点结论；逐项积分漏常数；指数错位。</t>
  </si>
  <si>
    <t>幂级数结构、求导积分</t>
  </si>
  <si>
    <t>2020、2025等</t>
  </si>
  <si>
    <t>熟练做指标平移并通过初值确定常数。</t>
  </si>
  <si>
    <t>K228</t>
  </si>
  <si>
    <t>幂级数的和、积及复合变换</t>
  </si>
  <si>
    <t>会利用已知几何级数做代换、求导、积分、乘多项式。</t>
  </si>
  <si>
    <t>在公共收敛区间内可线性组合；Cauchy乘积系数为卷积和。统考常通过 $1/(1-x)$ 及其导数/积分生成。</t>
  </si>
  <si>
    <t>乘积端点与收敛性需谨慎；代换后收敛域同步变换。</t>
  </si>
  <si>
    <t>求展开式、和函数。</t>
  </si>
  <si>
    <t>数值级数求和、ODE。</t>
  </si>
  <si>
    <t>“由已知展开求…”</t>
  </si>
  <si>
    <t>只变表达式不变收敛域；指标起点错。</t>
  </si>
  <si>
    <t>几何级数、逐项运算</t>
  </si>
  <si>
    <t>以几何级数为母式，熟练生成 $1/(1-x)^m$、对数等。</t>
  </si>
  <si>
    <t>K209</t>
  </si>
  <si>
    <t>数项级数概念</t>
  </si>
  <si>
    <t>级数、部分和与收敛定义</t>
  </si>
  <si>
    <t>会把级数收敛转化为部分和数列有极限。</t>
  </si>
  <si>
    <t>$\sum_{n=1}^\infty u_n$ 的部分和 $S_N=\sum_{n=1}^N u_n$；若 $S_N\to S$，级数收敛且和为S。</t>
  </si>
  <si>
    <t>级数不是“无穷项直接相加”，所有性质基于部分和极限；改变有限项不影响敛散性但改变和。</t>
  </si>
  <si>
    <t>判断定义、求部分和极限。</t>
  </si>
  <si>
    <t>数列极限、幂级数、概率。</t>
  </si>
  <si>
    <t>“级数和”“部分和”</t>
  </si>
  <si>
    <t>把通项极限当级数和；忽略起始项对和的影响。</t>
  </si>
  <si>
    <t>所有级数题基础</t>
  </si>
  <si>
    <t>能在定义、部分和、通项之间准确切换。</t>
  </si>
  <si>
    <t>K210</t>
  </si>
  <si>
    <t>收敛级数的基本性质</t>
  </si>
  <si>
    <t>掌握线性、去掉/增加有限项不改变敛散、分组的基本结论。</t>
  </si>
  <si>
    <t>收敛级数线性组合收敛；改变有限项不改敛散；按保持原顺序的有限分组不改和。</t>
  </si>
  <si>
    <t>两个发散级数相加可能收敛，不能由和的敛散反推各自；条件收敛级数任意重排不在常规性质内。</t>
  </si>
  <si>
    <t>逻辑判断、化简级数。</t>
  </si>
  <si>
    <t>绝对收敛、幂级数运算。</t>
  </si>
  <si>
    <t>“删去前若干项”“两级数相加”</t>
  </si>
  <si>
    <t>由 $\sum(u_n+v_n)$ 收敛推出两者各自收敛；随意重排条件收敛级数。</t>
  </si>
  <si>
    <t>极限线性</t>
  </si>
  <si>
    <t>2025等逻辑题</t>
  </si>
  <si>
    <t>掌握性质的单向逻辑并准备反例。</t>
  </si>
  <si>
    <t>K211</t>
  </si>
  <si>
    <t>必要条件 $u_n\to0$</t>
  </si>
  <si>
    <t>先查通项极限，非零立即发散。</t>
  </si>
  <si>
    <t>若 $\sum u_n$ 收敛，则 $u_n\to0$；逆命题不成立，调和级数是标准反例。</t>
  </si>
  <si>
    <t>只是否定工具，$u_n\to0$ 后仍需判别；条件收敛与绝对收敛均满足。</t>
  </si>
  <si>
    <t>快速判发散；概念判断。</t>
  </si>
  <si>
    <t>反常积分、无穷小。</t>
  </si>
  <si>
    <t>“通项不趋0”</t>
  </si>
  <si>
    <t>看到通项趋0就判收敛。</t>
  </si>
  <si>
    <t>所有判敛题第一步检查通项极限。</t>
  </si>
  <si>
    <t>K212</t>
  </si>
  <si>
    <t>正项级数</t>
  </si>
  <si>
    <t>正项级数部分和单调性</t>
  </si>
  <si>
    <t>理解正项级数收敛等价于部分和有上界。</t>
  </si>
  <si>
    <t>若 $u_n\ge0$，则部分和单调不减；因此级数收敛当且仅当部分和有上界。</t>
  </si>
  <si>
    <t>允许有限个负项可先去掉；“有界”指统一上界。</t>
  </si>
  <si>
    <t>证明正项级数收敛/发散。</t>
  </si>
  <si>
    <t>比较判别、积分判别。</t>
  </si>
  <si>
    <t>“正项级数”“部分和有界”</t>
  </si>
  <si>
    <t>只证单调不证有界；把通项有界当部分和有界。</t>
  </si>
  <si>
    <t>多年度理论工具</t>
  </si>
  <si>
    <t>能从积分/不等式给部分和统一上界。</t>
  </si>
  <si>
    <t>K215</t>
  </si>
  <si>
    <t>正项级数判别</t>
  </si>
  <si>
    <t>比较判别法</t>
  </si>
  <si>
    <t>会选择几何级数或p级数作为基准，注意比较方向。</t>
  </si>
  <si>
    <t>对非负项，$0\le u_n\le v_n$ 且 $\sum v_n$ 收敛则 $\sum u_n$ 收敛；$u_n\ge v_n\ge0$ 且 $\sum v_n$ 发散则 $\sum u_n$ 发散。</t>
  </si>
  <si>
    <t>只需从充分大n成立；比较方向必须与目标结论匹配。</t>
  </si>
  <si>
    <t>含根式/对数正项级数判敛。</t>
  </si>
  <si>
    <t>反常积分比较、夹逼。</t>
  </si>
  <si>
    <t>“可估计为”“大小比较”</t>
  </si>
  <si>
    <t>用收敛的小级数下界证明收敛；比较对象选得太粗。</t>
  </si>
  <si>
    <t>不等式、基本级数</t>
  </si>
  <si>
    <t>能根据主导项快速选基准并写清“充分大n”。</t>
  </si>
  <si>
    <t>K216</t>
  </si>
  <si>
    <t>极限比较判别法</t>
  </si>
  <si>
    <t>用通项比值极限判断同敛散。</t>
  </si>
  <si>
    <t>若 $u_n,v_n&gt;0$ 且 $u_n/v_n\to c\in(0,\infty)$，则两级数同敛散。</t>
  </si>
  <si>
    <t>c=0或∞时有单向扩展，使用需明确；比较项最终为正。</t>
  </si>
  <si>
    <t>复杂正项通项判敛。</t>
  </si>
  <si>
    <t>“通项渐近于”</t>
  </si>
  <si>
    <t>比值取反后错误解释0/∞；忽略正项条件。</t>
  </si>
  <si>
    <t>数列极限、p级数</t>
  </si>
  <si>
    <t>能用Taylor/最高阶项找到等价基准。</t>
  </si>
  <si>
    <t>K217</t>
  </si>
  <si>
    <t>比值判别法</t>
  </si>
  <si>
    <t>会算 $u_{n+1}/u_n$，特别适合阶乘、指数。</t>
  </si>
  <si>
    <t>若极限 $\rho&lt;1$ 则收敛，$\rho&gt;1$ 或为∞则发散；$\rho=1$ 失效。</t>
  </si>
  <si>
    <t>正项级数；使用上极限形式可更一般但不要求；极限等于1必须换方法。</t>
  </si>
  <si>
    <t>阶乘、指数、幂级数半径。</t>
  </si>
  <si>
    <t>根值判别、概率组合项。</t>
  </si>
  <si>
    <t>“n!、a^n、连乘”</t>
  </si>
  <si>
    <t>ρ=1仍下结论；比值方向导致代数膨胀。</t>
  </si>
  <si>
    <t>看到阶乘优先比值法，临界1立即转比较/积分/Taylor。</t>
  </si>
  <si>
    <t>K218</t>
  </si>
  <si>
    <t>根值判别法</t>
  </si>
  <si>
    <t>会算 $\sqrt[n]{u_n}$，适合整体n次幂。</t>
  </si>
  <si>
    <t>若 $\sqrt[n]{u_n}\to\rho&lt;1$ 则收敛，$\rho&gt;1$ 则发散，$\rho=1$ 失效。</t>
  </si>
  <si>
    <t>正项；若通项含多层幂，先取对数可简化。</t>
  </si>
  <si>
    <t>含 $(a_n)^n$ 的级数判敛。</t>
  </si>
  <si>
    <t>幂指极限、幂级数半径。</t>
  </si>
  <si>
    <t>“整体的n次方”</t>
  </si>
  <si>
    <t>根号只作用部分；ρ=1误判。</t>
  </si>
  <si>
    <t>数列根式极限</t>
  </si>
  <si>
    <t>能在比值与根值间选使结构最简者。</t>
  </si>
  <si>
    <t>K219</t>
  </si>
  <si>
    <t>积分判别法</t>
  </si>
  <si>
    <t>会把单调正函数的级数与反常积分对应。</t>
  </si>
  <si>
    <t>若 $f$ 在 $[1,\infty)$ 连续、正、单调递减，且 $u_n=f(n)$，则 $\sum u_n$ 与 $\int_1^\infty f(x)dx$ 同敛散。</t>
  </si>
  <si>
    <t>正、连续、最终单调递减是常用条件；还可得到余项上下界。</t>
  </si>
  <si>
    <t>含对数幂的级数判敛。</t>
  </si>
  <si>
    <t>反常积分、余项估计。</t>
  </si>
  <si>
    <t>“1/[n(ln n)^p]”</t>
  </si>
  <si>
    <t>不检查单调正；积分下限穿过ln奇点。</t>
  </si>
  <si>
    <t>掌握 $1/[n(\ln n)^p]$ 的阈值并会写积分换元。</t>
  </si>
  <si>
    <t>K259</t>
  </si>
  <si>
    <t>常微分方程</t>
  </si>
  <si>
    <t>Euler方程</t>
  </si>
  <si>
    <t>Euler–Cauchy方程</t>
  </si>
  <si>
    <t>会令 $x=e^t$ 或试 $y=x^m$ 化常系数。</t>
  </si>
  <si>
    <t>典型 $x^2y\prime\prime+axy\prime+by=f(x)$；齐次可试 $y=x^m$ 得指标方程，或令 $t=\ln|x|$。</t>
  </si>
  <si>
    <t>在不跨越x=0的区间求解；$x^m$ 实义与根类型需处理。</t>
  </si>
  <si>
    <t>Euler齐次/简单非齐次。</t>
  </si>
  <si>
    <t>幂函数、变量代换。</t>
  </si>
  <si>
    <t>“x²y″+axy′+by”</t>
  </si>
  <si>
    <t>把它当常系数直接列r²+…；忽略x=0奇点。</t>
  </si>
  <si>
    <t>链式法则、常系数ODE</t>
  </si>
  <si>
    <t>2016、2021等</t>
  </si>
  <si>
    <t>掌握标准变换及齐次指标方程，训练典型题。</t>
  </si>
  <si>
    <t>K241</t>
  </si>
  <si>
    <t>一阶方程</t>
  </si>
  <si>
    <t>可分离变量方程</t>
  </si>
  <si>
    <t>会把含y和x的因子分到两边并积分。</t>
  </si>
  <si>
    <t>$y\prime=f(x)g(y)$ 可写 $dy/g(y)=f(x)dx$ 后积分。</t>
  </si>
  <si>
    <t>除以 $g(y)$ 前要单独检查 $g(y)=0$ 给出的常值解；积分后注意绝对值和定义域。</t>
  </si>
  <si>
    <t>求通解/初值解。</t>
  </si>
  <si>
    <t>变量上限积分、建模。</t>
  </si>
  <si>
    <t>“右端为x函数×y函数”</t>
  </si>
  <si>
    <t>除掉常值解；漏积分常数；隐式解不检查分支。</t>
  </si>
  <si>
    <t>不定积分</t>
  </si>
  <si>
    <t>固定先查平衡解，再分离积分。</t>
  </si>
  <si>
    <t>K242</t>
  </si>
  <si>
    <t>齐次一阶方程</t>
  </si>
  <si>
    <t>识别 $y\prime=F(y/x)$，令 $y=ux$。</t>
  </si>
  <si>
    <t>令 $u=y/x$，则 $y\prime=u+xu\prime$，通常化为可分离方程。</t>
  </si>
  <si>
    <t>通常在 $x\ne0$ 区间；“齐次一阶方程”不要与线性齐次方程混淆。</t>
  </si>
  <si>
    <t>求齐次一阶方程通解。</t>
  </si>
  <si>
    <t>变量代换、曲线族。</t>
  </si>
  <si>
    <t>“只含y/x或x/y”</t>
  </si>
  <si>
    <t>令u=y/x后漏 $u$ 项；把两种齐次概念混淆。</t>
  </si>
  <si>
    <t>链式法则、可分离</t>
  </si>
  <si>
    <t>能通过同次齐次分子分母识别并选 $y=ux$ 或 $x=vy$。</t>
  </si>
  <si>
    <t>K243</t>
  </si>
  <si>
    <t>一阶线性方程与积分因子</t>
  </si>
  <si>
    <t>掌握 $y\prime+P(x)y=Q(x)$ 的公式和推导。</t>
  </si>
  <si>
    <t>积分因子 $\mu=e^{\int Pdx}$，则 $(\mu y)\prime=\mu Q$，$y=e^{-\int Pdx}[\int Qe^{\int Pdx}dx+C]$。</t>
  </si>
  <si>
    <t>P,Q在所求区间连续；不定积分常数可吸收，避免重复常数。</t>
  </si>
  <si>
    <t>一阶线性通解/特解。</t>
  </si>
  <si>
    <t>中值辅助函数、积分方程、建模。</t>
  </si>
  <si>
    <t>“y′+P(x)y=Q(x)”</t>
  </si>
  <si>
    <t>积分因子指数符号错；右侧未乘μ；常数处理混乱。</t>
  </si>
  <si>
    <t>分部/变上限积分</t>
  </si>
  <si>
    <t>2013、2019、2025等</t>
  </si>
  <si>
    <t>会公式也会从 $(\mu y)\prime$ 推导，降低记忆错误。</t>
  </si>
  <si>
    <t>K244</t>
  </si>
  <si>
    <t>Bernoulli方程</t>
  </si>
  <si>
    <t>识别 $y\prime+P y=Q y^n$，令 $z=y^{1-n}$ 化线性。</t>
  </si>
  <si>
    <t>$n\ne0,1$ 时令 $z=y^{1-n}$，得到 $z\prime+(1-n)Pz=(1-n)Q$。</t>
  </si>
  <si>
    <t>变换可能除以y，需检查 $y=0$ 是否为解；实幂定义域需注意。</t>
  </si>
  <si>
    <t>Bernoulli通解。</t>
  </si>
  <si>
    <t>一阶线性、可分离。</t>
  </si>
  <si>
    <t>“y的非一次幂”</t>
  </si>
  <si>
    <t>指数 $1-n$ 写错；漏零解；变换后系数漏乘。</t>
  </si>
  <si>
    <t>链式法则、一阶线性</t>
  </si>
  <si>
    <t>能一眼识别并准确化成线性方程。</t>
  </si>
  <si>
    <t>K245</t>
  </si>
  <si>
    <t>全微分方程（恰当方程）</t>
  </si>
  <si>
    <t>会检验 $M_y=N_x$ 并求势函数。</t>
  </si>
  <si>
    <t>$M(x,y)dx+N(x,y)dy=0$ 若 $M_y=N_x$（在合适单连通区域），则存在 $F$ 使 $dF=Mdx+Ndy$，通解 $F(x,y)=C$。</t>
  </si>
  <si>
    <t>M,N有连续偏导且区域条件合适；积分“常数”是另一变量函数。</t>
  </si>
  <si>
    <t>求恰当方程通解。</t>
  </si>
  <si>
    <t>路径无关、Green、混合偏导。</t>
  </si>
  <si>
    <t>“Mdx+Ndy=0”“全微分”</t>
  </si>
  <si>
    <t>交叉偏导写反；求势函数时漏变量函数。</t>
  </si>
  <si>
    <t>势函数、偏导</t>
  </si>
  <si>
    <t>2026等综合</t>
  </si>
  <si>
    <t>把它与保守场统一理解，势函数求法完全熟练。</t>
  </si>
  <si>
    <t>K246</t>
  </si>
  <si>
    <t>一阶方程的适当变量代换</t>
  </si>
  <si>
    <t>识别平移、线性组合 $u=ax+by+c$、倒数等代换化为已知类型。</t>
  </si>
  <si>
    <t>当方程只通过某个线性组合或比例出现时，把该组合设为新变量，并用链式法则写导数。</t>
  </si>
  <si>
    <t>代换需可逆或至少能回到原变量；常值解与奇异分支需检查。</t>
  </si>
  <si>
    <t>非标准一阶方程。</t>
  </si>
  <si>
    <t>齐次、可分离、线性。</t>
  </si>
  <si>
    <t>“反复出现ax+by”“平移后齐次”</t>
  </si>
  <si>
    <t>盲目代换不减少变量；链式导数系数漏。</t>
  </si>
  <si>
    <t>链式法则、方程结构</t>
  </si>
  <si>
    <t>2018、2024等</t>
  </si>
  <si>
    <t>形成结构识别：重复组合、比例、乘积、倒数。</t>
  </si>
  <si>
    <t>K247</t>
  </si>
  <si>
    <t>可降阶高阶方程</t>
  </si>
  <si>
    <t>$y^{(n)}=f(x)$ 型</t>
  </si>
  <si>
    <t>连续积分n次并保留n个常数。</t>
  </si>
  <si>
    <t>逐次积分：$y^{(n-1)}=\int fdx+C_1$，直到y。</t>
  </si>
  <si>
    <t>每次积分产生独立常数；初值可逐阶确定。</t>
  </si>
  <si>
    <t>直接高阶方程。</t>
  </si>
  <si>
    <t>Taylor、物理运动学。</t>
  </si>
  <si>
    <t>“最高阶导数只等于x函数”</t>
  </si>
  <si>
    <t>漏常数或常数项幂次；积分次数不足。</t>
  </si>
  <si>
    <t>逐阶积分并在每步保留常数。</t>
  </si>
  <si>
    <t>K248</t>
  </si>
  <si>
    <t>$y\prime\prime=f(x,y\prime)$ 型</t>
  </si>
  <si>
    <t>令 $p=y\prime$ 降为一阶方程，再积分求y。</t>
  </si>
  <si>
    <t>设 $p(x)=y\prime$，则 $p\prime=f(x,p)$；先求p，再由 $y\prime=p(x)$ 积分。</t>
  </si>
  <si>
    <t>两阶段各有常数；p的解区间与y一致。</t>
  </si>
  <si>
    <t>不显含y的二阶方程。</t>
  </si>
  <si>
    <t>一阶方程分类。</t>
  </si>
  <si>
    <t>“方程不含y”</t>
  </si>
  <si>
    <t>求出p后忘再积分；常数少一个。</t>
  </si>
  <si>
    <t>一阶ODE</t>
  </si>
  <si>
    <t>看到不含y立即令p=y′。</t>
  </si>
  <si>
    <t>K249</t>
  </si>
  <si>
    <t>$y\prime\prime=f(y,y\prime)$ 型</t>
  </si>
  <si>
    <t>令 $p(y)=y\prime$，利用 $y\prime\prime=p\,dp/dy$。</t>
  </si>
  <si>
    <t>当方程不显含x，设 $p=p(y)$，则 $y\prime\prime=dp/dx=(dp/dy)(dy/dx)=p p_y$。</t>
  </si>
  <si>
    <t>变换中若除以p，需检查p=0对应常值/匀速分支；求p(y)后再分离 $dy/dx=p(y)$。</t>
  </si>
  <si>
    <t>不显含x的二阶方程。</t>
  </si>
  <si>
    <t>能量积分、力学模型。</t>
  </si>
  <si>
    <t>“方程不含x”</t>
  </si>
  <si>
    <t>把 $y\prime\prime$ 写成 $dp/dy$ 而漏p；漏p=0解。</t>
  </si>
  <si>
    <t>低中频高难</t>
  </si>
  <si>
    <t>公式熟记并会完整两次降阶。</t>
  </si>
  <si>
    <t>K239</t>
  </si>
  <si>
    <t>基本概念</t>
  </si>
  <si>
    <t>微分方程、阶、解、通解与特解</t>
  </si>
  <si>
    <t>会识别阶数、验证函数是否为解、区分通解与特解。</t>
  </si>
  <si>
    <t>含未知函数及其导数的方程称微分方程；最高导数阶为阶数。通解通常含与阶数相同数量的任意常数，特解由附加条件确定。</t>
  </si>
  <si>
    <t>“含n个常数”是常规非奇异方程的经验结构，不是对所有方程无条件定义；解须在区间上满足方程。</t>
  </si>
  <si>
    <t>判断阶数、验证解、识别通解。</t>
  </si>
  <si>
    <t>初值问题、线性方程结构。</t>
  </si>
  <si>
    <t>“通解”“特解”“几阶”</t>
  </si>
  <si>
    <t>把任意一个解称通解；常数数量不足/冗余。</t>
  </si>
  <si>
    <t>导数、不定积分</t>
  </si>
  <si>
    <t>所有ODE题基础</t>
  </si>
  <si>
    <t>能代回方程检查，明确解的定义区间。</t>
  </si>
  <si>
    <t>K240</t>
  </si>
  <si>
    <t>初值问题</t>
  </si>
  <si>
    <t>会用初始条件确定任意常数并检查定义域。</t>
  </si>
  <si>
    <t>初值问题给出 $y(x_0),y\prime(x_0),\dots$；将其代入通解或求解过程中确定常数。</t>
  </si>
  <si>
    <t>初值点需在解的定义区间；隐式通解可能有多分支，需选满足初值的分支。</t>
  </si>
  <si>
    <t>求满足初值的特解。</t>
  </si>
  <si>
    <t>存在唯一性直觉、建模。</t>
  </si>
  <si>
    <t>“满足y(0)=…”</t>
  </si>
  <si>
    <t>解出常数后不写最终函数；跨越奇点扩展解。</t>
  </si>
  <si>
    <t>通解、函数定义域</t>
  </si>
  <si>
    <t>每年常见</t>
  </si>
  <si>
    <t>能快速定常数并验证初值和原方程。</t>
  </si>
  <si>
    <t>K262</t>
  </si>
  <si>
    <t>常微分方程组、Laplace变换与幂级数通法</t>
  </si>
  <si>
    <t>知道不属于数学一高数常规要求。</t>
  </si>
  <si>
    <t>线性ODE系统、Laplace变换、一般变参数法、Frobenius法不在现行数学一明确范围。</t>
  </si>
  <si>
    <t>个别真题出现两个未知量关系通常可消元成大纲内单方程，不要求系统理论。</t>
  </si>
  <si>
    <t>线性代数、工程数学。</t>
  </si>
  <si>
    <t>“Laplace变换”“方程组矩阵指数”</t>
  </si>
  <si>
    <t>按工程数学课程全学导致备考失焦。</t>
  </si>
  <si>
    <t>常系数ODE</t>
  </si>
  <si>
    <t>不安排专项；专注大纲列出的可解类型与综合建模。</t>
  </si>
  <si>
    <t>K252</t>
  </si>
  <si>
    <t>常系数线性方程</t>
  </si>
  <si>
    <t>二阶常系数齐次方程—不同实根</t>
  </si>
  <si>
    <t>会写特征方程并由根写通解。</t>
  </si>
  <si>
    <t>$y\prime\prime+py\prime+qy=0$，特征根 $r_1\ne r_2\in\mathbb R$ 时 $y=C_1e^{r_1x}+C_2e^{r_2x}$。</t>
  </si>
  <si>
    <t>系数为常数；根与特征多项式对应。</t>
  </si>
  <si>
    <t>求齐次通解、初值解。</t>
  </si>
  <si>
    <t>非齐次方程、稳定性。</t>
  </si>
  <si>
    <t>“常系数二阶线性齐次”</t>
  </si>
  <si>
    <t>特征方程系数/符号错。</t>
  </si>
  <si>
    <t>二次方程、指数求导</t>
  </si>
  <si>
    <t>特征根分类零失误。</t>
  </si>
  <si>
    <t>K253</t>
  </si>
  <si>
    <t>二阶常系数齐次方程—重根</t>
  </si>
  <si>
    <t>会写 $(C_1+C_2x)e^{rx}$。</t>
  </si>
  <si>
    <t>二重实根r时，两个线性无关解为 $e^{rx},xe^{rx}$。</t>
  </si>
  <si>
    <t>x因子来自重数；高重根推广为 $x^k e^{rx}$。</t>
  </si>
  <si>
    <t>齐次通解。</t>
  </si>
  <si>
    <t>高阶常系数方程。</t>
  </si>
  <si>
    <t>“特征根重根”</t>
  </si>
  <si>
    <t>仍写两个相同指数解；漏x。</t>
  </si>
  <si>
    <t>线性无关</t>
  </si>
  <si>
    <t>重数m对应 $e^{rx}$ 乘 $1,x,\dots,x^{m-1}$。</t>
  </si>
  <si>
    <t>K254</t>
  </si>
  <si>
    <t>二阶常系数齐次方程—共轭复根</t>
  </si>
  <si>
    <t>会由 $\alpha\pm i\beta$ 写实通解。</t>
  </si>
  <si>
    <t>$y=e^{\alpha x}(C_1\cos\beta x+C_2\sin\beta x)$。</t>
  </si>
  <si>
    <t>$\beta&gt;0$；系数符号与特征根实虚部对应。</t>
  </si>
  <si>
    <t>振荡型通解、初值。</t>
  </si>
  <si>
    <t>Fourier、控制/振动联系。</t>
  </si>
  <si>
    <t>“判别式小于0”</t>
  </si>
  <si>
    <t>漏指数包络；β符号/频率错。</t>
  </si>
  <si>
    <t>Euler公式直觉、三角</t>
  </si>
  <si>
    <t>从根到解形式无需推导停顿。</t>
  </si>
  <si>
    <t>K255</t>
  </si>
  <si>
    <t>高阶常系数齐次方程</t>
  </si>
  <si>
    <t>会按特征根及重数组合解。</t>
  </si>
  <si>
    <t>对 $a_n y^{(n)}+\cdots+a_0y=0$，每个实根/复根按重数生成相应基本解。</t>
  </si>
  <si>
    <t>特征多项式需能因式分解；复根成共轭对。</t>
  </si>
  <si>
    <t>三/四阶简单常系数方程。</t>
  </si>
  <si>
    <t>线性代数特征多项式类比。</t>
  </si>
  <si>
    <t>“某些高于二阶的常系数方程”</t>
  </si>
  <si>
    <t>漏解数量导致常数不足；重数判断错。</t>
  </si>
  <si>
    <t>二阶根分类、多项式</t>
  </si>
  <si>
    <t>掌握可因式分解的典型题，不练复杂高次求根。</t>
  </si>
  <si>
    <t>K260</t>
  </si>
  <si>
    <t>应用</t>
  </si>
  <si>
    <t>增长衰减、混合与几何建模</t>
  </si>
  <si>
    <t>能从变化率语句建立一阶ODE并用初值定常数。</t>
  </si>
  <si>
    <t>“变化率正比于现量”给 $y\prime=ky$；混合问题用流入率−流出率；几何曲线条件常把切线斜率写成y′。</t>
  </si>
  <si>
    <t>单位、符号和初始条件一致；模型适用范围要说明。</t>
  </si>
  <si>
    <t>应用题、曲线族。</t>
  </si>
  <si>
    <t>定积分物理、概率指数分布。</t>
  </si>
  <si>
    <t>“变化率与…成正比”“切线满足…”</t>
  </si>
  <si>
    <t>比例常数符号错；流出浓度用初始浓度；解出后不检物理范围。</t>
  </si>
  <si>
    <t>一阶ODE、单位分析</t>
  </si>
  <si>
    <t>中频综合</t>
  </si>
  <si>
    <t>能从文字识别状态量、变化率、净输入和初值。</t>
  </si>
  <si>
    <t>K250</t>
  </si>
  <si>
    <t>线性方程理论</t>
  </si>
  <si>
    <t>线性齐次方程解的叠加与结构</t>
  </si>
  <si>
    <t>理解线性组合仍是解，n阶基本解组张成通解。</t>
  </si>
  <si>
    <t>线性齐次算子 $L[y]=0$ 满足叠加；n个线性无关解的线性组合给通解。</t>
  </si>
  <si>
    <t>叠加只对线性齐次方程；非齐次解不能任意线性组合仍满足原方程。</t>
  </si>
  <si>
    <t>判断解结构、求通解。</t>
  </si>
  <si>
    <t>线性代数线性无关、常系数方程。</t>
  </si>
  <si>
    <t>“若y1,y2为解”</t>
  </si>
  <si>
    <t>把非齐次特解相加；忽略线性无关。</t>
  </si>
  <si>
    <t>线性代数、导数</t>
  </si>
  <si>
    <t>概念题工具</t>
  </si>
  <si>
    <t>能区分齐次解空间与非齐次解集的仿射结构。</t>
  </si>
  <si>
    <t>K251</t>
  </si>
  <si>
    <t>非齐次方程通解结构</t>
  </si>
  <si>
    <t>掌握“齐次通解＋一个非齐次特解”。</t>
  </si>
  <si>
    <t>若 $L[y]=f$，则通解 $y=y_h+y_p$；任意两个非齐次解之差是齐次解。</t>
  </si>
  <si>
    <t>前提是同一个线性算子和同一右端；特解只需一个。</t>
  </si>
  <si>
    <t>由若干解构造新解；求通解。</t>
  </si>
  <si>
    <t>叠加原理、待定系数。</t>
  </si>
  <si>
    <t>“非齐次特解”“两解之差”</t>
  </si>
  <si>
    <t>把两个特解都加到通解；右端不同仍相减。</t>
  </si>
  <si>
    <t>齐次结构</t>
  </si>
  <si>
    <t>选择题与大题常用</t>
  </si>
  <si>
    <t>能利用解的差/线性组合快速处理抽象线性ODE题。</t>
  </si>
  <si>
    <t>K261</t>
  </si>
  <si>
    <t>综合题</t>
  </si>
  <si>
    <t>ODE与变上限积分/全微分结合</t>
  </si>
  <si>
    <t>会先对积分关系求导得到ODE，或由混合偏导相等建立ODE。</t>
  </si>
  <si>
    <t>积分方程常通过微积分基本定理求导降为ODE；全微分条件 $M_y=N_x$ 可产生未知单变量函数的ODE。</t>
  </si>
  <si>
    <t>求导前检查初值/积分下限提供的附加条件；求解后代回原积分关系排除多余解。</t>
  </si>
  <si>
    <t>积分方程、恰当微分＋ODE。</t>
  </si>
  <si>
    <t>变上限积分、偏导、势函数。</t>
  </si>
  <si>
    <t>“未知函数出现在积分内外”“存在全微分”</t>
  </si>
  <si>
    <t>求导丢失积分常数/原约束；解ODE后不回代。</t>
  </si>
  <si>
    <t>基本定理、恰当方程</t>
  </si>
  <si>
    <t>2013、2025、2026等</t>
  </si>
  <si>
    <t>固定流程：求导建方程→从原式取初值→解ODE→回代核验。</t>
  </si>
  <si>
    <t>K256</t>
  </si>
  <si>
    <t>非齐次常系数方程</t>
  </si>
  <si>
    <t>待定系数法—指数多项式型</t>
  </si>
  <si>
    <t>会按右端 $e^{\lambda x}P_m(x)$ 设特解，并处理共振。</t>
  </si>
  <si>
    <t>试探 $y_p=x^s e^{\lambda x}Q_m(x)$，其中s为λ作为特征根的重数，$Q_m$ 为同次一般多项式。</t>
  </si>
  <si>
    <t>多项式系数必须一般化，不可只设同形单项；共振乘x的次数等于根重数。</t>
  </si>
  <si>
    <t>非齐次特解与通解。</t>
  </si>
  <si>
    <t>幂级数、线性算子。</t>
  </si>
  <si>
    <t>“右端为多项式×e^{λx}”</t>
  </si>
  <si>
    <t>漏共振x^s；多项式降次；把齐次项重复留在特解中。</t>
  </si>
  <si>
    <t>齐次特征根、求导</t>
  </si>
  <si>
    <t>2015、2016等</t>
  </si>
  <si>
    <t>先查λ是否为特征根，再定试探形式。</t>
  </si>
  <si>
    <t>K257</t>
  </si>
  <si>
    <t>待定系数法—三角型</t>
  </si>
  <si>
    <t>会对 $e^{\alpha x}[P_m\cos\beta x+Q_n\sin\beta x]$ 设双三角特解。</t>
  </si>
  <si>
    <t>试探含同阶一般多项式分别乘 $\cos\beta x,\sin\beta x$，并乘 $x^s$，s为 $\alpha+i\beta$ 的特征根重数。</t>
  </si>
  <si>
    <t>即使右端只有sin或cos，也通常要两者都设；共振按复根判断。</t>
  </si>
  <si>
    <t>正弦余弦强迫方程。</t>
  </si>
  <si>
    <t>振动、Fourier。</t>
  </si>
  <si>
    <t>“右端含sin/cos”</t>
  </si>
  <si>
    <t>只设一种三角函数；共振未乘x。</t>
  </si>
  <si>
    <t>齐次复根、求导</t>
  </si>
  <si>
    <t>双三角试探与共振检查形成固定流程。</t>
  </si>
  <si>
    <t>K258</t>
  </si>
  <si>
    <t>右端和的叠加处理</t>
  </si>
  <si>
    <t>把右端分成若干标准型分别求特解再相加。</t>
  </si>
  <si>
    <t>线性性给出：若 $L[y_i]=f_i$，则 $L[\sum y_i]=\sum f_i$。</t>
  </si>
  <si>
    <t>各分量的特解中齐次重复项可省；最终只加一次齐次通解。</t>
  </si>
  <si>
    <t>复杂非齐次方程。</t>
  </si>
  <si>
    <t>叠加原理。</t>
  </si>
  <si>
    <t>“右端是多项式、指数、三角的和”</t>
  </si>
  <si>
    <t>每部分都加齐次通解导致常数冗余；漏某一项。</t>
  </si>
  <si>
    <t>非齐次结构</t>
  </si>
  <si>
    <t>拆右端、分型、最后统一加 $y_h$。</t>
  </si>
  <si>
    <t>题型方法库（51类）</t>
  </si>
  <si>
    <t>每类包含识别信号、标准流程、替代方法、选择条件、失败方法、变式、年份和训练量。</t>
  </si>
  <si>
    <t>题型名称</t>
  </si>
  <si>
    <t>典型特征</t>
  </si>
  <si>
    <t>标准流程</t>
  </si>
  <si>
    <t>可替代方法</t>
  </si>
  <si>
    <t>方法选择条件</t>
  </si>
  <si>
    <t>易失败方法</t>
  </si>
  <si>
    <t>常见变式</t>
  </si>
  <si>
    <t>组合章节</t>
  </si>
  <si>
    <t>典型年份</t>
  </si>
  <si>
    <t>难度</t>
  </si>
  <si>
    <t>建议训练量</t>
  </si>
  <si>
    <t>掌握状态</t>
  </si>
  <si>
    <t>T01</t>
  </si>
  <si>
    <t>定义域与复合函数</t>
  </si>
  <si>
    <t>表达式含分母、根式、对数、反三角或抽象复合；常以选择/填空出现。</t>
  </si>
  <si>
    <t>“有意义”“定义域为”“已知f的定义域，求f(g(x))”。</t>
  </si>
  <si>
    <t>①列内层自身约束；②列内层值落入外层定义域；③取交集；④含参数时按临界点分段；⑤检查集合非空。</t>
  </si>
  <si>
    <t>画数轴、不等式符号表、集合逆像。</t>
  </si>
  <si>
    <t>抽象复合优先集合逆像；具体表达式优先逐层约束。</t>
  </si>
  <si>
    <t>只看最外层；把外层定义域直接当x范围；漏严格不等式。</t>
  </si>
  <si>
    <t>含参数、嵌套根式、反函数定义域、幂级数复合收敛域。</t>
  </si>
  <si>
    <t>函数性质、极限、幂级数。</t>
  </si>
  <si>
    <t>多年度工具性</t>
  </si>
  <si>
    <t>★☆☆☆☆</t>
  </si>
  <si>
    <t>基础15—20题＋参数5题</t>
  </si>
  <si>
    <t>T02</t>
  </si>
  <si>
    <t>分段点连续与可导参数</t>
  </si>
  <si>
    <t>分界点两侧表达式不同，要求连续、可导或二阶可导并求参数。</t>
  </si>
  <si>
    <t>“在x=0处连续/可导”“确定a,b”。</t>
  </si>
  <si>
    <t>①算左右极限和点值，先解连续条件；②算左右导数，解可导条件；③二阶问题再逐侧求导；④回代核验。</t>
  </si>
  <si>
    <t>直接用导数定义；Taylor匹配低阶系数。</t>
  </si>
  <si>
    <t>表达式复杂或含绝对值时定义法更稳；解析展开明显时用系数匹配。</t>
  </si>
  <si>
    <t>跳过连续直接比导数；把某段公式在分界点直接代入；漏左右。</t>
  </si>
  <si>
    <t>积分定义函数、参数方程拼接、连续但不可导反例。</t>
  </si>
  <si>
    <t>极限、导数定义、Taylor。</t>
  </si>
  <si>
    <t>2021、2023、2024</t>
  </si>
  <si>
    <t>★★☆☆☆</t>
  </si>
  <si>
    <t>专项20题</t>
  </si>
  <si>
    <t>T03</t>
  </si>
  <si>
    <t>常规极限方法选择</t>
  </si>
  <si>
    <t>极限可呈0/0、∞/∞、0·∞、∞−∞或直接代入型。</t>
  </si>
  <si>
    <t>代入后出现未定式；含基本小量、根式、积分或幂指。</t>
  </si>
  <si>
    <t>①先判趋近过程与型态；②代数化简；③乘商看等价无穷小；④高阶消去用Taylor；⑤商型可比较洛必达；⑥振荡/积分用夹逼；⑦最后核验条件。</t>
  </si>
  <si>
    <t>变量代换、导数定义、积分中值定理。</t>
  </si>
  <si>
    <t>低阶结构用等价；需要系数/高阶用Taylor；连续可导商且求导变简单用洛必达。</t>
  </si>
  <si>
    <t>见0/0即洛必达；加减中机械等价；展开阶数不足。</t>
  </si>
  <si>
    <t>含参数使极限有限、含绝对值单侧、积分平均值、数列和式。</t>
  </si>
  <si>
    <t>Taylor、导数、积分、级数。</t>
  </si>
  <si>
    <t>2010—2026几乎每年</t>
  </si>
  <si>
    <t>混合50—80题</t>
  </si>
  <si>
    <t>T04</t>
  </si>
  <si>
    <t>幂指型极限</t>
  </si>
  <si>
    <t>底数和指数均变化，常见 $1^\infty,0^0,\infty^0$。</t>
  </si>
  <si>
    <t>“$f(x)^{g(x)}$”“$x^x$”“底数趋1”。</t>
  </si>
  <si>
    <t>①确认底数在邻域为正；②令y为原式并取ln；③求 $g\ln f$ 的极限；④用等价/Taylor/洛必达；⑤指数还原；⑥处理±∞。</t>
  </si>
  <si>
    <t>改写为第二重要极限；直接Taylor指数。</t>
  </si>
  <si>
    <t>结构可化 $(1+u)^v$ 且uv易求时用重要极限；否则统一对数化。</t>
  </si>
  <si>
    <t>把 $1^\infty$ 当1；非正底数强取ln；忘还原。</t>
  </si>
  <si>
    <t>参数底数、指数积分、两层指数。</t>
  </si>
  <si>
    <t>极限、对数、Taylor。</t>
  </si>
  <si>
    <t>专项15—20题</t>
  </si>
  <si>
    <t>T05</t>
  </si>
  <si>
    <t>给初值和 $a_{n+1}=\varphi(a_n)$，求极限或证收敛。</t>
  </si>
  <si>
    <t>“递推定义”“证明数列收敛”“求lim a_n”。</t>
  </si>
  <si>
    <t>①解不动点方程找候选；②由初值构造不变区间；③证明单调或压缩；④由单调有界得收敛；⑤代入连续递推求极限；⑥排除其他根。</t>
  </si>
  <si>
    <t>夹逼、误差递推、数学归纳。</t>
  </si>
  <si>
    <t>能证单调有界时最规范；有收缩比时用误差估计。</t>
  </si>
  <si>
    <t>先设极限再代入，循环论证；不筛多个不动点。</t>
  </si>
  <si>
    <t>分式递推、根式递推、积分递推。</t>
  </si>
  <si>
    <t>极限、单调性、不等式。</t>
  </si>
  <si>
    <t>2012、2018及早期经典</t>
  </si>
  <si>
    <t>★★★☆☆</t>
  </si>
  <si>
    <t>专项15题</t>
  </si>
  <si>
    <t>T06</t>
  </si>
  <si>
    <t>导数定义反求极限/函数值</t>
  </si>
  <si>
    <t>差商形式不标准，可能中心点或增量被变换。</t>
  </si>
  <si>
    <t>“已知f在某点可导”“极限含f(a+h)-f(a)”。</t>
  </si>
  <si>
    <t>①识别分子函数增量；②把分母凑成自变量增量；③提取尺度系数；④必要时加减中间项；⑤使用导数与连续性。</t>
  </si>
  <si>
    <t>Taylor一阶展开、拉格朗日中值定理。</t>
  </si>
  <si>
    <t>只给可导而不给高阶信息时定义法最稳。</t>
  </si>
  <si>
    <t>把不同中心的差商直接认作导数；漏尺度因子。</t>
  </si>
  <si>
    <t>复合增量、绝对值、积分函数差商。</t>
  </si>
  <si>
    <t>极限、连续、变上限积分。</t>
  </si>
  <si>
    <t>2023、2024</t>
  </si>
  <si>
    <t>T07</t>
  </si>
  <si>
    <t>隐函数与参数方程高阶导数</t>
  </si>
  <si>
    <t>函数未显式解出，要求一阶/二阶导或切线。</t>
  </si>
  <si>
    <t>“由方程确定”“参数方程”“求d²y/dx²”。</t>
  </si>
  <si>
    <t>隐函数：对x全导→解y′→再全导求y″→指定点早代入简化；参数式：先求dy/dx，再对t求导并除以dx/dt。</t>
  </si>
  <si>
    <t>局部显式求解、对数求导。</t>
  </si>
  <si>
    <t>显式解很复杂时保持隐式；参数二阶严格按链式公式。</t>
  </si>
  <si>
    <t>隐式求导漏y′；参数二阶写成y″(t)/x″(t)。</t>
  </si>
  <si>
    <t>多元隐函数偏导、曲线切线、极值。</t>
  </si>
  <si>
    <t>导数、多元微分、空间几何。</t>
  </si>
  <si>
    <t>专项20—25题</t>
  </si>
  <si>
    <t>T08</t>
  </si>
  <si>
    <t>中值定理存在性证明</t>
  </si>
  <si>
    <t>要求证明存在 $\xi$ 使含函数值、导数或积分的等式成立。</t>
  </si>
  <si>
    <t>“证明至少存在一点ξ”“端点条件”“导数等于某表达式”。</t>
  </si>
  <si>
    <t>①目标式移到一边；②反向识别为F′(ξ)=0、差商或两个增量比；③构造F；④选区间；⑤核验连续、可导、端点关系；⑥引用罗尔/拉格朗日/柯西并代回。</t>
  </si>
  <si>
    <t>Taylor公式、积分中值定理、单调性。</t>
  </si>
  <si>
    <t>目标为导数零用罗尔；函数值差/区间长用拉格朗日；两增量比用柯西。</t>
  </si>
  <si>
    <t>先套定理再找函数；构造后端点不等；不同ξ混用。</t>
  </si>
  <si>
    <t>多次罗尔、高阶导零点、带积分辅助函数、指数积分因子。</t>
  </si>
  <si>
    <t>导数、积分、ODE。</t>
  </si>
  <si>
    <t>★★★★☆</t>
  </si>
  <si>
    <t>分型30—40题</t>
  </si>
  <si>
    <t>T09</t>
  </si>
  <si>
    <t>单调性与不等式证明</t>
  </si>
  <si>
    <t>证明 $f(x)\ge g(x)$ 或参数不等式，通常可转差函数。</t>
  </si>
  <si>
    <t>“证明不等式”“对所有x成立”“最佳常数”。</t>
  </si>
  <si>
    <t>①移项构造h；②找等号点；③求h′并判号，必要时再求h″；④从等号点向两侧推；⑤检查定义域和端点；⑥最佳常数再找取等条件。</t>
  </si>
  <si>
    <t>Taylor余项、积分保序、均值定理。</t>
  </si>
  <si>
    <t>全区间导数符号清楚用单调；局部高阶接触用Taylor；积分型用点态比较。</t>
  </si>
  <si>
    <t>只在一个区间判号；等号点未处理；用数值图像代证明。</t>
  </si>
  <si>
    <t>含参数、对数指数不等式、积分不等式。</t>
  </si>
  <si>
    <t>极限、中值定理、积分。</t>
  </si>
  <si>
    <t>2012、2024、2026</t>
  </si>
  <si>
    <t>专项30题</t>
  </si>
  <si>
    <t>T10</t>
  </si>
  <si>
    <t>Taylor高阶极限</t>
  </si>
  <si>
    <t>低阶项相消，洛必达次数多；常含参数匹配。</t>
  </si>
  <si>
    <t>分母为x^m；分子由多个初等函数差组成；“极限存在且非零”。</t>
  </si>
  <si>
    <t>①做阶数预算；②只展开到首个可能不消项；③复合小量保留交叉项；④合并同阶系数；⑤除以分母首项；⑥参数题令低阶系数为0。</t>
  </si>
  <si>
    <t>多次洛必达、等价无穷小。</t>
  </si>
  <si>
    <t>相消超过一阶或含参数时Taylor最优；只需首阶且无相减时等价更快。</t>
  </si>
  <si>
    <t>展开过少或过多；复合展开漏二次项；o项阶数不统一。</t>
  </si>
  <si>
    <t>指数对数复合、根式、积分函数、幂指。</t>
  </si>
  <si>
    <t>极限、无穷小、幂级数。</t>
  </si>
  <si>
    <t>专项35—50题</t>
  </si>
  <si>
    <t>T11</t>
  </si>
  <si>
    <t>函数性态综合</t>
  </si>
  <si>
    <t>同时问单调、极值、凹凸、拐点、渐近线或根数。</t>
  </si>
  <si>
    <t>“讨论函数性态”“判断选项”“画图/根的个数”。</t>
  </si>
  <si>
    <t>①定义域与间断；②一阶导零点/不存在点及符号表；③二阶导候选与变号；④无穷/断点极限求渐近线；⑤合成草图；⑥用图/单调判断根数。</t>
  </si>
  <si>
    <t>直接不等式、参数分类。</t>
  </si>
  <si>
    <t>选择题可用反例/局部信息排除；解答题用完整符号表。</t>
  </si>
  <si>
    <t>只解导数方程不判变号；拐点只看二阶导为0；漏端点。</t>
  </si>
  <si>
    <t>变上限积分函数、参数函数、差商单调性。</t>
  </si>
  <si>
    <t>极限、导数、中值定理。</t>
  </si>
  <si>
    <t>2011、2023、2025、2026</t>
  </si>
  <si>
    <t>综合20—30题</t>
  </si>
  <si>
    <t>T12</t>
  </si>
  <si>
    <t>不定积分方法识别</t>
  </si>
  <si>
    <t>被积式可呈复合导数、乘积、有理式、三角有理式或根式。</t>
  </si>
  <si>
    <t>“求原函数/不定积分”；结构比题面长度更重要。</t>
  </si>
  <si>
    <t>①化简与拆项；②查基本公式/凑微分；③乘积判断分部；④有理函数部分分式；⑤根式/三角选择换元；⑥求导验算。</t>
  </si>
  <si>
    <t>参数微分法通常非大纲核心；特殊函数不强求。</t>
  </si>
  <si>
    <t>有内层导数优先换元；对数/反三角乘多项式优先分部；纯有理优先部分分式。</t>
  </si>
  <si>
    <t>无脑万能代换；过早展开；漏积分常数与绝对值。</t>
  </si>
  <si>
    <t>递推积分、定积分同结构、ODE积分。</t>
  </si>
  <si>
    <t>导数、代数、三角。</t>
  </si>
  <si>
    <t>各年基础工具</t>
  </si>
  <si>
    <t>基础80—120题</t>
  </si>
  <si>
    <t>T13</t>
  </si>
  <si>
    <t>定积分对称变换</t>
  </si>
  <si>
    <t>积分区间对称或被积函数在 $x\mapsto a+b-x$ 下互补。</t>
  </si>
  <si>
    <t>“[-a,a]”“f(x)+f(a−x)”或周期。</t>
  </si>
  <si>
    <t>①检查奇偶/中心对称/周期；②做 $x=a+b-t$ 或 $x=-t$；③把原式与变换式相加平均；④处理绝对值与分段。</t>
  </si>
  <si>
    <t>直接求原函数、分部积分。</t>
  </si>
  <si>
    <t>抽象函数或原函数难求时对称法优先。</t>
  </si>
  <si>
    <t>只看函数局部奇偶；变换上下限符号错；周期长度不匹配。</t>
  </si>
  <si>
    <t>变上限积分奇偶、Fourier系数、二重积分对称。</t>
  </si>
  <si>
    <t>函数性质、级数。</t>
  </si>
  <si>
    <t>2014、2024</t>
  </si>
  <si>
    <t>T14</t>
  </si>
  <si>
    <t>变上限积分函数综合</t>
  </si>
  <si>
    <t>函数由积分定义，问导数、极值、零点、极限或ODE。</t>
  </si>
  <si>
    <t>“F(x)=∫…”“积分上限含x”。</t>
  </si>
  <si>
    <t>①识别上下限与被积函数是否显含x；②用基本定理/Leibniz求导；③若求极值作导数符号；④若求极限考虑中值/洛必达/Taylor；⑤用下限给初值。</t>
  </si>
  <si>
    <t>交换积分次序、积分中值定理。</t>
  </si>
  <si>
    <t>被积函数不显含参数用端点公式；显含参数时加积分内偏导项。</t>
  </si>
  <si>
    <t>下限项漏负号；把积分变量当外变量；求导丢初值。</t>
  </si>
  <si>
    <t>微分方程、奇偶性、中值定理、积分不等式。</t>
  </si>
  <si>
    <t>极限、导数、ODE。</t>
  </si>
  <si>
    <t>2021、2025、2026</t>
  </si>
  <si>
    <t>专项30—40题</t>
  </si>
  <si>
    <t>T15</t>
  </si>
  <si>
    <t>含 $\sum_{k=1}^n f(k/n)$ 或非标准分点，求n趋无穷。</t>
  </si>
  <si>
    <t>前因子像区间长度/n；采样点呈a+k(b−a)/n。</t>
  </si>
  <si>
    <t>①把每项写成f(采样点)Δx；②识别区间与分割；③核对缩放幂；④写定积分；⑤再计算或估计。</t>
  </si>
  <si>
    <t>夹逼估计、Euler求和思想（不需公式）。</t>
  </si>
  <si>
    <t>函数连续、等距采样时直接Riemann和；结构不完全标准可先代数归一化。</t>
  </si>
  <si>
    <t>区间端点/Δx错；索引平移过度影响；把双重和当单积分。</t>
  </si>
  <si>
    <t>二重Riemann和、概率期望近似。</t>
  </si>
  <si>
    <t>数列极限、定积分、重积分。</t>
  </si>
  <si>
    <t>2010、2017、2020</t>
  </si>
  <si>
    <t>T16</t>
  </si>
  <si>
    <t>反常积分判敛与计算</t>
  </si>
  <si>
    <t>积分区间无穷或被积函数在端点/内部无界。</t>
  </si>
  <si>
    <t>“反常积分是否收敛”“上限∞”“分母在区间为0”。</t>
  </si>
  <si>
    <t>①扫描无穷端与所有瑕点；②逐段截断写极限；③只判敛散时找局部等价主项并与p型比较；④求值时先在有限区间积分；⑤每段分别取极限；⑥说明收敛后再合并。</t>
  </si>
  <si>
    <t>分部积分、换元、绝对收敛判断。</t>
  </si>
  <si>
    <t>端点主导幂明显用比较；原函数易求用定义直接；振荡型先考虑分部/绝对值。</t>
  </si>
  <si>
    <t>∞直接代原函数；内部瑕点不拆；左右发散相消当收敛。</t>
  </si>
  <si>
    <t>含参数阈值、与级数比较、ODE边界条件。</t>
  </si>
  <si>
    <t>极限、定积分、级数。</t>
  </si>
  <si>
    <t>2010、2016、2019、2026</t>
  </si>
  <si>
    <t>T17</t>
  </si>
  <si>
    <t>积分不等式证明</t>
  </si>
  <si>
    <t>要求比较两个积分、给上下界或证明含积分表达式非负。</t>
  </si>
  <si>
    <t>“证明∫…≤…”“f单调/凸”“积分平均”。</t>
  </si>
  <si>
    <t>①尝试点态比较；②利用单调性给区间上界/下界；③用积分中值定理；④构造变上限函数并求导；⑤需要乘积比较时考虑Chebyshev/Cauchy型思想但用大纲内推导；⑥写等号条件。</t>
  </si>
  <si>
    <t>Taylor余项、分部积分、中值定理。</t>
  </si>
  <si>
    <t>能点态比较时最短；含变上限用函数法；含导数条件用分部/中值。</t>
  </si>
  <si>
    <t>由积分不等式反推点态；忽略被积函数符号；等号条件漏。</t>
  </si>
  <si>
    <t>参数最优常数、积分与和式、二重积分不等式。</t>
  </si>
  <si>
    <t>导数、中值定理、重积分。</t>
  </si>
  <si>
    <t>2010、2012、2024、2026</t>
  </si>
  <si>
    <t>专项25—35题</t>
  </si>
  <si>
    <t>T18</t>
  </si>
  <si>
    <t>定积分几何/物理建模</t>
  </si>
  <si>
    <t>面积、旋转体、弧长、曲面面积、功、压力、质心。</t>
  </si>
  <si>
    <t>“围成面积”“绕轴旋转”“变力”“密度”。</t>
  </si>
  <si>
    <t>①画图/标坐标和变量；②选微元方向；③写局部量（宽、高、半径、密度）；④总量=∫局部量；⑤定上下限；⑥检查量纲和非负性。</t>
  </si>
  <si>
    <t>重积分建模、参数曲线。</t>
  </si>
  <si>
    <t>区域易表示为函数差用一元积分；旋转轴导致反函数复杂时考虑壳法。</t>
  </si>
  <si>
    <t>不画图；半径未减旋转轴；微元维数错；重复计数。</t>
  </si>
  <si>
    <t>参数曲线面积、变密度、分段区域。</t>
  </si>
  <si>
    <t>函数图像、定积分、重积分。</t>
  </si>
  <si>
    <t>2011、2019及经典题</t>
  </si>
  <si>
    <t>每类8—12题</t>
  </si>
  <si>
    <t>T19</t>
  </si>
  <si>
    <t>空间直线、平面与距离</t>
  </si>
  <si>
    <t>给点、方向/法向或交线，求方程、夹角、位置关系、距离。</t>
  </si>
  <si>
    <t>“过点且平行/垂直”“两平面交线”“异面直线”。</t>
  </si>
  <si>
    <t>①把几何条件翻译成方向/法向；②用点积判垂直、叉积求共同法向/方向、混合积判共面；③写参数式/点法式；④关系判断后再套距离公式。</t>
  </si>
  <si>
    <t>Lagrange乘数求最短距离。</t>
  </si>
  <si>
    <t>线性几何直接用向量法；复杂最短距离可用极值法交叉验证。</t>
  </si>
  <si>
    <t>法向与方向混淆；空间中不平行就判相交；分量为0仍写连比。</t>
  </si>
  <si>
    <t>曲面切平面、空间曲线切线、Stokes。</t>
  </si>
  <si>
    <t>向量代数、多元微分。</t>
  </si>
  <si>
    <t>2010、2021、2023</t>
  </si>
  <si>
    <t>T20</t>
  </si>
  <si>
    <t>多元复合函数偏导</t>
  </si>
  <si>
    <t>多个中间变量，要求一阶/二阶偏导或验证关系。</t>
  </si>
  <si>
    <t>“z=f(u,v), u=…,v=…”“求z_xx”。</t>
  </si>
  <si>
    <t>①画变量依赖图；②一阶偏导沿所有路径相加；③标明f的偏导求值点；④二阶在一阶结果上再求导；⑤核对交叉项与内层二阶项。</t>
  </si>
  <si>
    <t>全微分法、Jacobian矩阵法。</t>
  </si>
  <si>
    <t>一阶复杂关系用全微分简洁；二阶用变量树逐项更稳。</t>
  </si>
  <si>
    <t>漏路径；把f_u当常数；二阶只平方一阶系数。</t>
  </si>
  <si>
    <t>齐次函数、坐标变换、隐函数。</t>
  </si>
  <si>
    <t>一元链式、高阶偏导。</t>
  </si>
  <si>
    <t>2011、2017、2025</t>
  </si>
  <si>
    <t>T21</t>
  </si>
  <si>
    <t>多元隐函数偏导</t>
  </si>
  <si>
    <t>由一个方程或方程组隐式确定函数，求偏导/全微分。</t>
  </si>
  <si>
    <t>“F(x,y,z)=0确定z=z(x,y)”或Jacobian非零。</t>
  </si>
  <si>
    <t>单方程：先核验F_z≠0→用 $z_x=-F_x/F_z$ 等→指定点代入。方程组：对独立变量求导→得到关于未知偏导的线性方程组→解之。</t>
  </si>
  <si>
    <t>全微分法、局部显式求解。</t>
  </si>
  <si>
    <t>方程组/复杂关系优先隐式求导；显式可轻易解出时可直接链式。</t>
  </si>
  <si>
    <t>计算F_x时错误把z当函数；Jacobian顺序/符号错；漏存在条件。</t>
  </si>
  <si>
    <t>切平面、条件极值、ODE。</t>
  </si>
  <si>
    <t>偏导、线性方程组。</t>
  </si>
  <si>
    <t>T22</t>
  </si>
  <si>
    <t>多元连续、偏导、可微与方向导数辨析</t>
  </si>
  <si>
    <t>选择题给若干性质问蕴含关系，或特殊分段函数在原点判断。</t>
  </si>
  <si>
    <t>“偏导存在”“所有方向导数存在”“可微/连续”。</t>
  </si>
  <si>
    <t>①画逻辑箭头：可微⇒连续且偏导存在；偏导邻域连续⇒可微；②特殊点先连续，再偏导，再按定义检可微；③方向导数逐方向；④需要否定时选路径。</t>
  </si>
  <si>
    <t>构造标准反例库。</t>
  </si>
  <si>
    <t>抽象逻辑题用反例排除；具体函数用极坐标/路径估计。</t>
  </si>
  <si>
    <t>偏导存在就判连续/可微；有限条路径相同就证极限；方向向量未单位化。</t>
  </si>
  <si>
    <t>二重极限、梯度、极值。</t>
  </si>
  <si>
    <t>极限、偏导、全微分。</t>
  </si>
  <si>
    <t>2010、2021、2025、2026</t>
  </si>
  <si>
    <t>概念20题＋反例10题</t>
  </si>
  <si>
    <t>T23</t>
  </si>
  <si>
    <t>求给定方向、最大方向导数或增长最快方向。</t>
  </si>
  <si>
    <t>“沿向量a方向”“最大变化率”。</t>
  </si>
  <si>
    <t>①求指定点梯度；②把方向向量单位化；③点积得方向导数；④最大值为梯度模，方向为梯度单位向量；⑤梯度为0时单独解释。</t>
  </si>
  <si>
    <t>按方向导数定义参数化。</t>
  </si>
  <si>
    <t>函数可微时用梯度；特殊点可微未知时回定义。</t>
  </si>
  <si>
    <t>不单位化；梯度为0就判极值；求值点代错。</t>
  </si>
  <si>
    <t>曲面法向、Lagrange、物理场。</t>
  </si>
  <si>
    <t>向量点积、偏导。</t>
  </si>
  <si>
    <t>T24</t>
  </si>
  <si>
    <t>切平面、法线与空间曲线切线</t>
  </si>
  <si>
    <t>曲面或两曲面交线在点处求切线/切平面/法平面。</t>
  </si>
  <si>
    <t>“在点P处切平面”“交线的切线”。</t>
  </si>
  <si>
    <t>曲面F=0：先核点在面上→求∇F(P)→写切平面。交线F=G=0：切向量=∇F×∇G→写直线；法平面以切向量为法向。</t>
  </si>
  <si>
    <t>参数曲线用r′(t)。</t>
  </si>
  <si>
    <t>有参数式优先r′；隐式交线优先梯度叉积。</t>
  </si>
  <si>
    <t>梯度为0仍套；法平面/切平面名称混淆；叉积为0未处理。</t>
  </si>
  <si>
    <t>隐函数、方向导数、Stokes。</t>
  </si>
  <si>
    <t>向量、偏导、空间几何。</t>
  </si>
  <si>
    <t>T25</t>
  </si>
  <si>
    <t>二元无条件极值</t>
  </si>
  <si>
    <t>求驻点并分类，可能含参数或Hessian退化。</t>
  </si>
  <si>
    <t>“二元函数的极值”“驻点性质”。</t>
  </si>
  <si>
    <t>①求定义域与一阶偏导；②解∇f=0；③每点算A,B,C,D=AC−B²；④D&gt;0结合A定极大/小，D&lt;0鞍点；⑤D=0用高阶主项/路径；⑥列极值。</t>
  </si>
  <si>
    <t>配方、代数因式分解、二元Taylor。</t>
  </si>
  <si>
    <t>二次/多项式可配方；一般平滑函数用Hessian。</t>
  </si>
  <si>
    <t>驻点即极值；只看D不看A；D=0硬判。</t>
  </si>
  <si>
    <t>隐函数极值、参数极值、ODE构造。</t>
  </si>
  <si>
    <t>偏导、Taylor、二次型。</t>
  </si>
  <si>
    <t>2011、2017、2021、2026</t>
  </si>
  <si>
    <t>专项25—30题</t>
  </si>
  <si>
    <t>T26</t>
  </si>
  <si>
    <t>条件极值与闭区域全局最值</t>
  </si>
  <si>
    <t>目标函数受曲线/曲面约束，或在三角形、圆域等闭区域上求最值。</t>
  </si>
  <si>
    <t>“在约束…下”“在闭区域D上”。</t>
  </si>
  <si>
    <t>条件极值：列∇f=λ∇g＋g=0，解全候选且不随意除变量。闭区域：内部驻点→每段边界降维/Lagrange→角点→比较函数值。</t>
  </si>
  <si>
    <t>消元降维、几何不等式、配方。</t>
  </si>
  <si>
    <t>约束易显式解出且降维简单用代入；对称/多变量用Lagrange。</t>
  </si>
  <si>
    <t>漏约束方程；除变量漏零解；闭区域只查内部。</t>
  </si>
  <si>
    <t>最短距离、最大体积、线性代数Rayleigh商。</t>
  </si>
  <si>
    <t>一元最值、向量、空间几何。</t>
  </si>
  <si>
    <t>2015、2019、2024、2026</t>
  </si>
  <si>
    <t>T27</t>
  </si>
  <si>
    <t>二重积分换序</t>
  </si>
  <si>
    <t>给累次积分要求换序或原次序内层难积。</t>
  </si>
  <si>
    <t>上下限中外变量混合；“改变积分次序”。</t>
  </si>
  <si>
    <t>①只看上下限写区域不等式；②画边界和交点；③沿新方向扫描；④找边界切换点分块；⑤写新外限常数、新内限只含外变量；⑥检查覆盖一次。</t>
  </si>
  <si>
    <t>直接区域分块、交换积分与变上限。</t>
  </si>
  <si>
    <t>换序后内层可积或区域更简单时值得换。</t>
  </si>
  <si>
    <t>只交换dxdy；不画图；新外限含内变量；漏分段。</t>
  </si>
  <si>
    <t>积分不等式、参数区域、Green。</t>
  </si>
  <si>
    <t>平面区域、定积分。</t>
  </si>
  <si>
    <t>2019、2025</t>
  </si>
  <si>
    <t>专项25题</t>
  </si>
  <si>
    <t>T28</t>
  </si>
  <si>
    <t>二重积分极坐标</t>
  </si>
  <si>
    <t>区域含圆、扇形、心形或被积函数含x²+y²。</t>
  </si>
  <si>
    <t>“圆域”“x²+y²”“极坐标”。</t>
  </si>
  <si>
    <t>①画区域；②射线扫描定θ范围；③代边界求r内外限；④代被积函数；⑤乘Jacobian r；⑥利用角度对称。</t>
  </si>
  <si>
    <t>直角坐标、一般变量变换。</t>
  </si>
  <si>
    <t>区域/函数至少一方径向明显简化时用；偏心圆可能需角度分段。</t>
  </si>
  <si>
    <t>漏r；角度重复；内外径写反；r取负。</t>
  </si>
  <si>
    <t>三重柱坐标、概率径向分布。</t>
  </si>
  <si>
    <t>极坐标、三角。</t>
  </si>
  <si>
    <t>2016、2024</t>
  </si>
  <si>
    <t>T29</t>
  </si>
  <si>
    <t>三重积分坐标选择</t>
  </si>
  <si>
    <t>立体由平面、柱面、锥面、球面/抛物面围成。</t>
  </si>
  <si>
    <t>“球/锥/柱”“绕轴对称”“求体积/质心”。</t>
  </si>
  <si>
    <t>①画截面和投影；②比较直角投影、柱坐标、球坐标；③选使边界与被积函数最简者；④明确扫描次序；⑤写Jacobian；⑥用对称性消奇项。</t>
  </si>
  <si>
    <t>截面法、先一后二投影法。</t>
  </si>
  <si>
    <t>圆柱轴对称→柱；同心球锥→球；多面体→直角；被积函数只依某坐标→截面法。</t>
  </si>
  <si>
    <t>只因出现球就用球坐标；球坐标角约定错；漏Jacobian。</t>
  </si>
  <si>
    <t>Gauss、概率三维密度。</t>
  </si>
  <si>
    <t>空间曲面、二重积分。</t>
  </si>
  <si>
    <t>T30</t>
  </si>
  <si>
    <t>二重/三重积分一般变量变换</t>
  </si>
  <si>
    <t>边界为x±y常数、椭圆或线性组合，标准坐标很繁。</t>
  </si>
  <si>
    <t>“令u=x+y,v=x−y”或区域为斜平行四边形。</t>
  </si>
  <si>
    <t>①从边界重复组合选u,v；②解回x,y；③算 $|∂(x,y)/∂(u,v)|$；④把区域变为矩形/圆；⑤变被积函数；⑥检查一一性与覆盖。</t>
  </si>
  <si>
    <t>区域分块、线性代数矩阵法。</t>
  </si>
  <si>
    <t>边界与被积函数都含同一组合时收益最高。</t>
  </si>
  <si>
    <t>Jacobian取反；只变函数不变域；漏绝对值；变换多对一。</t>
  </si>
  <si>
    <t>概率随机变量变换、线性代数行列式。</t>
  </si>
  <si>
    <t>偏导、行列式。</t>
  </si>
  <si>
    <t>经典低频综合</t>
  </si>
  <si>
    <t>专项10—15题</t>
  </si>
  <si>
    <t>T31</t>
  </si>
  <si>
    <t>积分符号含ds，问弧长、质量或加权弧长。</t>
  </si>
  <si>
    <t>“对弧长的曲线积分”“线密度”。</t>
  </si>
  <si>
    <t>①判断与方向无关；②选参数；③代曲线坐标；④算 $ds=|r′(t)|dt$；⑤定参数区间防重复；⑥利用对称性。</t>
  </si>
  <si>
    <t>显函数弧长公式、几何弧长×常值。</t>
  </si>
  <si>
    <t>曲线参数自然时参数法；被积函数在曲线上恒定时先化简。</t>
  </si>
  <si>
    <t>反向变号；漏速度模；重复描迹。</t>
  </si>
  <si>
    <t>弧长、质心、转动惯量。</t>
  </si>
  <si>
    <t>参数曲线、一元积分。</t>
  </si>
  <si>
    <t>2011及经典题</t>
  </si>
  <si>
    <t>T32</t>
  </si>
  <si>
    <t>第二类曲线积分直接法</t>
  </si>
  <si>
    <t>开曲线或参数曲线，Pdx+Qdy(+Rdz)。</t>
  </si>
  <si>
    <t>“从A到B沿L”“曲线由参数式给出”。</t>
  </si>
  <si>
    <t>①按方向选参数；②写dx,dy,dz；③代场分量和曲线；④合并成一元积分；⑤检查反向符号。</t>
  </si>
  <si>
    <t>势函数端点法、补线Green、Stokes。</t>
  </si>
  <si>
    <t>路径简单/不闭合且场非保守时直接法；先检查势函数是否更快。</t>
  </si>
  <si>
    <t>参数方向反；漏微分；坐标代入与分量错配。</t>
  </si>
  <si>
    <t>做功、空间曲线、参数方程。</t>
  </si>
  <si>
    <t>向量场、积分。</t>
  </si>
  <si>
    <t>2010、2014</t>
  </si>
  <si>
    <t>T33</t>
  </si>
  <si>
    <t>Green公式处理闭曲线积分</t>
  </si>
  <si>
    <t>平面闭曲线正向，计算 $\oint_L P\,dx+Q\,dy$，直接参数化困难。</t>
  </si>
  <si>
    <t>“正向闭曲线”“边界L”“围成区域D”。</t>
  </si>
  <si>
    <t>①核验闭合、分段光滑、正向及P,Q偏导连续；②算 $Q_x-P_y$；③用Green变成二重积分；④利用区域对称/极坐标；⑤若区域有孔，逐边界定向或挖洞处理。</t>
  </si>
  <si>
    <t>直接参数化、势函数、补曲线。</t>
  </si>
  <si>
    <t>旋度简单且区域易积分时Green最快；场为保守场则势函数更快。</t>
  </si>
  <si>
    <t>忘记正向；把被积式的P,Q放反；区域有奇点仍直接套；内边界方向错。</t>
  </si>
  <si>
    <t>面积公式、路径无关、二重积分、带孔区域。</t>
  </si>
  <si>
    <t>偏导、二重积分、曲线方向。</t>
  </si>
  <si>
    <t>2011、2017、2025及经典题</t>
  </si>
  <si>
    <t>T34</t>
  </si>
  <si>
    <t>开曲线补线后用Green公式</t>
  </si>
  <si>
    <t>原曲线不闭合，但补一条直线/坐标轴后边界简单。</t>
  </si>
  <si>
    <t>“沿开弧从A到B”“曲线与弦围成区域”。</t>
  </si>
  <si>
    <t>①选补线使区域与补线积分最简；②确定闭曲线总方向；③写原线积分=闭线积分−补线积分（方向统一）；④Green算闭线；⑤直接算补线。</t>
  </si>
  <si>
    <t>直接参数法、势函数端点法。</t>
  </si>
  <si>
    <t>补线必须显著简化区域或积分；若场保守直接端点法。</t>
  </si>
  <si>
    <t>补线方向与闭曲线方向不一致；只补线不减回；区域穿过奇点。</t>
  </si>
  <si>
    <t>二重积分、定积分、面积公式。</t>
  </si>
  <si>
    <t>Green公式、参数直线。</t>
  </si>
  <si>
    <t>2019、2026</t>
  </si>
  <si>
    <t>★★★★★</t>
  </si>
  <si>
    <t>T35</t>
  </si>
  <si>
    <t>问积分是否与路径无关、闭路积分是否为零或求端点积分。</t>
  </si>
  <si>
    <t>“与路径无关”“存在势函数/原函数”“任意闭曲线”。</t>
  </si>
  <si>
    <t>①确认定义域；②检查单连通与分量偏导连续；③二维验 $P_y=Q_x$，三维验curl=0；④积分一个分量并补只含其他变量的函数；⑤用其余分量定补函数；⑥端点代势函数。</t>
  </si>
  <si>
    <t>Green/分段直接积分。</t>
  </si>
  <si>
    <t>定义域单连通时curl=0可直接判；有孔区域要额外检查绕孔闭路。</t>
  </si>
  <si>
    <t>只看交叉偏导不看定义域；势函数漏“只含另一个变量”的项；端点顺序反。</t>
  </si>
  <si>
    <t>全微分、恰当方程、Green。</t>
  </si>
  <si>
    <t>偏导、单连通区域。</t>
  </si>
  <si>
    <t>2014、2019及经典题</t>
  </si>
  <si>
    <t>T36</t>
  </si>
  <si>
    <t>积分符号含dS，求面积、质量、质心或通量模相关量。</t>
  </si>
  <si>
    <t>“对面积的曲面积分”“面密度”“曲面面积”。</t>
  </si>
  <si>
    <t>①判断与法向无关；②选投影面；③把曲面写成单值图形或参数化；④用 $dS=\sqrt{1+z_x^2+z_y^2}\,dxdy$ 等；⑤确定投影域；⑥利用对称性。</t>
  </si>
  <si>
    <t>参数曲面叉积模、几何面积。</t>
  </si>
  <si>
    <t>显函数面优先投影；球/锥等自然参数面可参数化。</t>
  </si>
  <si>
    <t>把dS当dxdy；投影面选到多值；漏上下两片；错误考虑方向。</t>
  </si>
  <si>
    <t>曲面面积、质心、二重积分。</t>
  </si>
  <si>
    <t>偏导、二重积分、曲面表示。</t>
  </si>
  <si>
    <t>2019及经典题</t>
  </si>
  <si>
    <t>T37</t>
  </si>
  <si>
    <t>第二类曲面积分直接法</t>
  </si>
  <si>
    <t>计算 $\iint_\Sigma P\,dy\,dz+Q\,dz\,dx+R\,dx\,dy$，曲面为开面或易投影。</t>
  </si>
  <si>
    <t>“上侧/下侧/外侧”“开曲面Σ”。</t>
  </si>
  <si>
    <t>①确定法向侧；②选投影面；③若z=z(x,y)，按上侧用 $(-z_x,-z_y,1)dxdy$，下侧取反；④代P,Q,R；⑤写投影域并积分。</t>
  </si>
  <si>
    <t>参数曲面向量面积元、补面Gauss、Stokes。</t>
  </si>
  <si>
    <t>单值图形且投影简单时直接；开面能补成简单闭面时Gauss常更快。</t>
  </si>
  <si>
    <t>法向符号错；把第一类面积元公式套来；分量与投影微元错配。</t>
  </si>
  <si>
    <t>通量、Gauss、空间几何。</t>
  </si>
  <si>
    <t>偏导、二重积分、法向。</t>
  </si>
  <si>
    <t>2024及经典题</t>
  </si>
  <si>
    <t>T38</t>
  </si>
  <si>
    <t>Gauss公式处理闭曲面与补面</t>
  </si>
  <si>
    <t>闭曲面外侧通量，或开曲面可补成闭曲面。</t>
  </si>
  <si>
    <t>“封闭曲面外侧”“上半球/侧面”“补底面”。</t>
  </si>
  <si>
    <t>①核验闭合、分片光滑、场在体内一阶偏导连续；②算div；③Gauss变三重积分；④若原面开口，选补面并统一外法向；⑤原面通量=闭面通量−补面通量；⑥检查奇点。</t>
  </si>
  <si>
    <t>直接投影、对称性、挖小球处理奇点。</t>
  </si>
  <si>
    <t>闭体简单且散度简单时Gauss；补面要使补面通量易算。</t>
  </si>
  <si>
    <t>开面直接套；补面法向错；体内含场奇点仍套；漏减补面。</t>
  </si>
  <si>
    <t>三重积分、散度、物理通量。</t>
  </si>
  <si>
    <t>三重积分、法向、偏导。</t>
  </si>
  <si>
    <t>2018、2021、2023、2025</t>
  </si>
  <si>
    <t>T39</t>
  </si>
  <si>
    <t>Stokes公式处理空间曲线积分</t>
  </si>
  <si>
    <t>空间闭曲线的第二类线积分，边界属于某曲面。</t>
  </si>
  <si>
    <t>“空间闭曲线”“从某方向看为正向”“曲面边界”。</t>
  </si>
  <si>
    <t>①选最简单跨越曲面；②按右手规则匹配曲线与法向；③算curl；④用 $\iint_\Sigma (\nabla\times F)\cdot n\,dS$；⑤选投影/参数化；⑥若curl恒定可化投影面积。</t>
  </si>
  <si>
    <t>直接参数化；换成同边界的平面；Green作为平面特例。</t>
  </si>
  <si>
    <t>曲线复杂但可选简单曲面时Stokes；曲线本身参数很简单也可直算。</t>
  </si>
  <si>
    <t>曲线方向与法向不匹配；选原复杂曲面而非任意同边界曲面；curl分量算错。</t>
  </si>
  <si>
    <t>曲面投影、叉积、Green。</t>
  </si>
  <si>
    <t>旋度、曲面法向、空间曲线。</t>
  </si>
  <si>
    <t>2011、2024及经典题</t>
  </si>
  <si>
    <t>T40</t>
  </si>
  <si>
    <t>Green、Gauss、Stokes选择决策</t>
  </si>
  <si>
    <t>向量积分综合题，需要先识别维数、积分对象与边界是否闭合。</t>
  </si>
  <si>
    <t>“闭曲线/闭曲面/空间边界”“正向/外侧”。</t>
  </si>
  <si>
    <t>①识别对象：平面线积分→Green；闭曲面通量→Gauss；空间闭曲线→Stokes；②非闭对象考虑补线/补面；③先查场奇点和区域拓扑；④比较直接法与公式后积分维数/复杂度；⑤统一方向。</t>
  </si>
  <si>
    <t>直接参数/投影、势函数。</t>
  </si>
  <si>
    <t>选择标准不是“看到闭就套”，而是条件合法且转换后更简单。</t>
  </si>
  <si>
    <t>公式串台；不检查光滑/奇点/方向；转换后积分更难仍硬套。</t>
  </si>
  <si>
    <t>多重积分、空间几何、向量场。</t>
  </si>
  <si>
    <t>三大公式及直接法。</t>
  </si>
  <si>
    <t>综合命题贯穿近年</t>
  </si>
  <si>
    <t>综合30题</t>
  </si>
  <si>
    <t>T41</t>
  </si>
  <si>
    <t>数项级数判敛决策</t>
  </si>
  <si>
    <t>给一般项，判断正项、变号或任意项级数收敛性。</t>
  </si>
  <si>
    <t>“讨论敛散性”“绝对/条件收敛”。</t>
  </si>
  <si>
    <t>①先验 $u_n\to0$；②识别正项/交错/任意项；③正项先等价与比较，再比值/根值，含积分型再积分判别；④变号先判绝对收敛，再用Leibniz；⑤参数题分临界值。</t>
  </si>
  <si>
    <t>Cauchy准则、分组/拆项、积分估计。</t>
  </si>
  <si>
    <t>阶乘指数→比值；n次方整体→根值；有理/对数幂→比较或积分；交错且单调→Leibniz。</t>
  </si>
  <si>
    <t>通项趋零就判收敛；比值极限=1硬判；只判原级数不判绝对值。</t>
  </si>
  <si>
    <t>反常积分、幂级数端点、Taylor余项。</t>
  </si>
  <si>
    <t>极限、等价、反常积分。</t>
  </si>
  <si>
    <t>几乎每年直接或工具出现</t>
  </si>
  <si>
    <t>专项60题</t>
  </si>
  <si>
    <t>T42</t>
  </si>
  <si>
    <t>幂级数收敛半径与端点</t>
  </si>
  <si>
    <t>给系数或含参数的幂级数，求收敛区间/域。</t>
  </si>
  <si>
    <t>“收敛半径”“收敛域”“端点”。</t>
  </si>
  <si>
    <t>①中心化为 $(x-x_0)^n$；②用系数比值/根值得R；③写开区间；④两个端点逐个代入原级数判敛；⑤多项/偶次幂先换元再映回；⑥复合变量检查多解区间。</t>
  </si>
  <si>
    <t>Cauchy-Hadamard、与已知级数比较。</t>
  </si>
  <si>
    <t>系数比值极限存在用比值；稀疏/幂次复杂用根值或换元。</t>
  </si>
  <si>
    <t>把端点自动含入；中心错；换元后只给u区间；忽略绝对值。</t>
  </si>
  <si>
    <t>数项级数、函数项级数、Taylor。</t>
  </si>
  <si>
    <t>数项级数判敛、极限。</t>
  </si>
  <si>
    <t>2011、2017、2023、2026</t>
  </si>
  <si>
    <t>专项35—40题</t>
  </si>
  <si>
    <t>T43</t>
  </si>
  <si>
    <t>幂级数和函数与数值级数求和</t>
  </si>
  <si>
    <t>由级数系数求和函数，或计算一个具体无穷和。</t>
  </si>
  <si>
    <t>系数含 $1/n,1/(n+k),n$；“求和函数/级数的和”。</t>
  </si>
  <si>
    <t>①识别基本几何级数；②通过逐项求导/积分/乘x/移位把目标变为基本型；③在收敛区间内操作；④用初值定积分常数；⑤数值和代目标x，若在端点需另证。</t>
  </si>
  <si>
    <t>拆项、生成函数、微分方程法。</t>
  </si>
  <si>
    <t>有n因子用求导；有1/(n+k)用积分；递推系数可构造和函数ODE。</t>
  </si>
  <si>
    <t>忘积分常数；操作后收敛半径不变但端点需重判；错位首项。</t>
  </si>
  <si>
    <t>定积分、微分方程、Taylor。</t>
  </si>
  <si>
    <t>幂级数运算、一元积分。</t>
  </si>
  <si>
    <t>2020、2023、2024及经典题</t>
  </si>
  <si>
    <t>T44</t>
  </si>
  <si>
    <t>Taylor/Maclaurin展开与函数展开</t>
  </si>
  <si>
    <t>把函数展成幂级数、求系数或用展开算极限/证明。</t>
  </si>
  <si>
    <t>“展开成x的幂级数”“Maclaurin”“系数”。</t>
  </si>
  <si>
    <t>①选最近基本展开；②代换自变量并控制区间；③乘除/求导/积分；④整理同次幂；⑤需要严格等号时说明收敛域或余项趋零；⑥求系数可只保留目标阶。</t>
  </si>
  <si>
    <t>Taylor公式直接求导、复合展开、系数比较。</t>
  </si>
  <si>
    <t>基本函数复合优先代换；目标低阶系数用有限Taylor而非全展开。</t>
  </si>
  <si>
    <t>只写形式展开不写范围；阶数不足；忽略复合后偶/奇次；把渐近式当全局恒等式。</t>
  </si>
  <si>
    <t>极限、积分、微分方程、幂级数。</t>
  </si>
  <si>
    <t>Taylor公式、基本展开。</t>
  </si>
  <si>
    <t>2015、2021、2023、2025</t>
  </si>
  <si>
    <t>专项40题</t>
  </si>
  <si>
    <t>T45</t>
  </si>
  <si>
    <t>Fourier级数与半区间展开</t>
  </si>
  <si>
    <t>周期函数或给定区间函数求Fourier系数、和函数或某数值级数。</t>
  </si>
  <si>
    <t>“以2l为周期”“正弦/余弦级数”“半区间展开”。</t>
  </si>
  <si>
    <t>①确定周期与积分区间；②先看奇偶性；③写 $a_0,a_n,b_n$；④分部积分并识别系数结构；⑤用Dirichlet结论写连续点值、跳点半和；⑥半区间按奇/偶延拓。</t>
  </si>
  <si>
    <t>利用已知展开、Parseval（不属核心要求，谨慎）。</t>
  </si>
  <si>
    <t>偶函数只余弦、奇函数只正弦；分段函数按段积分。</t>
  </si>
  <si>
    <t>常数项漏1/2；端点取原值而非左右极限半和；周期尺度nπ/l错。</t>
  </si>
  <si>
    <t>数值级数求和、分段函数、积分。</t>
  </si>
  <si>
    <t>分部积分、三角正交。</t>
  </si>
  <si>
    <t>2011、2021、2023、2024、2025</t>
  </si>
  <si>
    <t>T46</t>
  </si>
  <si>
    <t>一阶微分方程分类与求解</t>
  </si>
  <si>
    <t>给一阶方程，需在可分离、齐次、线性、Bernoulli、恰当/可化恰当间选法。</t>
  </si>
  <si>
    <t>出现 $y/x$、$y′+P(x)y=Q(x)$、$y^n$、Mdx+Ndy=0。</t>
  </si>
  <si>
    <t>①先整理并识别类型；②可分离直接分变量；③齐次令y=ux；④线性用积分因子；⑤Bernoulli令z=y^{1-n}；⑥恰当验M_y=N_x并求势函数；⑦代初值并检查被除掉的特解。</t>
  </si>
  <si>
    <t>变量互换x(y)、特殊代换、观察法。</t>
  </si>
  <si>
    <t>按结构选最直接法；同时满足多类时选运算最短者。</t>
  </si>
  <si>
    <t>未识别类型就硬凑；除以y漏y=0；积分常数写法错；初值跨奇点。</t>
  </si>
  <si>
    <t>变上限积分、函数性质、建模。</t>
  </si>
  <si>
    <t>积分、导数、隐函数。</t>
  </si>
  <si>
    <t>2011、2012、2018、2019、2024</t>
  </si>
  <si>
    <t>专项45题</t>
  </si>
  <si>
    <t>T47</t>
  </si>
  <si>
    <t>可降阶高阶微分方程</t>
  </si>
  <si>
    <t>高阶方程缺y、缺x或只含y的高阶导。</t>
  </si>
  <si>
    <t>“不显含y”“不显含x”“y^{(n)}=f(x)”。</t>
  </si>
  <si>
    <t>①只含x与高阶导：逐次积分；②缺y：令p=y′，把y″看p′；③缺x：令p(y)=y′，用y″=p dp/dy；④求p后再解一阶；⑤每次积分保留常数。</t>
  </si>
  <si>
    <t>能量积分、变量代换。</t>
  </si>
  <si>
    <t>缺哪个变量决定替换；边界/初值可逐层定常数。</t>
  </si>
  <si>
    <t>把p′混为dp/dy；少积分常数；变换中除p漏常值解。</t>
  </si>
  <si>
    <t>物理运动、积分、相平面直觉。</t>
  </si>
  <si>
    <t>一阶方程、链式法则。</t>
  </si>
  <si>
    <t>2010、2022及经典题</t>
  </si>
  <si>
    <t>T48</t>
  </si>
  <si>
    <t>常系数线性微分方程</t>
  </si>
  <si>
    <t>二阶或高阶常系数齐次/非齐次方程。</t>
  </si>
  <si>
    <t>“特征方程”“右端为多项式×指数×正弦余弦”。</t>
  </si>
  <si>
    <t>①先解齐次特征方程；②按实根/重根/共轭根写通解；③非齐次按右端型设特解；④若试探型与齐次重复乘x^s；⑤代入定系数；⑥叠加并代初值。</t>
  </si>
  <si>
    <t>复数法、算子法（仅作简化工具）、变换变量。</t>
  </si>
  <si>
    <t>低阶多项式可直接待定；指数三角乘积用复指数或成对试探。</t>
  </si>
  <si>
    <t>重根漏x因子；共振乘x次数错；特解重复写任意常数；非齐次叠加漏项。</t>
  </si>
  <si>
    <t>函数极限/有界性、幂级数、物理振动。</t>
  </si>
  <si>
    <t>代数方程、求导。</t>
  </si>
  <si>
    <t>2010、2016、2023</t>
  </si>
  <si>
    <t>专项35题</t>
  </si>
  <si>
    <t>T49</t>
  </si>
  <si>
    <t>Euler方程与变量变换</t>
  </si>
  <si>
    <t>系数含 $x^2y″,xy′,y$ 的齐次尺度结构。</t>
  </si>
  <si>
    <t>“Euler方程”“等幂系数”。</t>
  </si>
  <si>
    <t>①在x&gt;0（或分区间）令x=e^t；②用 $xy′=D_ty$、$x^2y″=D_t(D_t-1)y$；③化常系数方程；④求解后换回t=ln|x|；⑤处理定义区间。</t>
  </si>
  <si>
    <t>直接试 $y=x^m$ 解齐次，非齐次再变换。</t>
  </si>
  <si>
    <t>纯齐次可直接幂函数试探；含复杂右端优先t=ln|x|。</t>
  </si>
  <si>
    <t>忘定义域；二阶变换少了−D项；换回时指数/对数错。</t>
  </si>
  <si>
    <t>常系数方程、幂函数。</t>
  </si>
  <si>
    <t>链式法则、常系数ODE。</t>
  </si>
  <si>
    <t>2021及经典题</t>
  </si>
  <si>
    <t>T50</t>
  </si>
  <si>
    <t>微分方程与积分/全微分综合</t>
  </si>
  <si>
    <t>未知函数以积分定义、混合偏导或全微分关系出现，最终导出ODE。</t>
  </si>
  <si>
    <t>“由积分方程确定”“混合偏导相等”“存在全微分”。</t>
  </si>
  <si>
    <t>①先用变上限求导或 $F_{xy}=F_{yx}$ 消去积分/势函数；②整理成标准ODE；③分类求通解；④代原条件/初值；⑤回代检查积分常数和定义域。</t>
  </si>
  <si>
    <t>交换积分次序、构造辅助函数。</t>
  </si>
  <si>
    <t>积分上限含未知函数时先链式求导；恰当性常给出ODE约束。</t>
  </si>
  <si>
    <t>未经可微条件就交换混合偏导；求完ODE不回代；漏初始积分常数。</t>
  </si>
  <si>
    <t>变上限积分、多元微分、恰当方程。</t>
  </si>
  <si>
    <t>积分基本定理、偏导、ODE。</t>
  </si>
  <si>
    <t>2014、2023、2026</t>
  </si>
  <si>
    <t>综合20—25题</t>
  </si>
  <si>
    <t>T51</t>
  </si>
  <si>
    <t>反例构造与命题真假判断</t>
  </si>
  <si>
    <t>选择题给出概念蕴含、充分必要条件或“必然成立”陈述。</t>
  </si>
  <si>
    <t>“一定/必然/充分/必要”“存在但不连续/不可导”。</t>
  </si>
  <si>
    <t>①把命题写成P⇒Q；②先查已知定理方向与条件；③要证真给严格链；④要证假优先调用反例库：分段尖点、振荡、绝对值、无界导数、偏导存在但不可微、条件收敛；⑤逐条核定义。</t>
  </si>
  <si>
    <t>构造参数族、图像直觉后严格验证。</t>
  </si>
  <si>
    <t>全称命题找一个反例即可；存在命题需给具体对象并验证全部条件。</t>
  </si>
  <si>
    <t>凭图形印象；反例不满足题设；把逆命题当原定理；忽略端点/定义域。</t>
  </si>
  <si>
    <t>连续可导、级数、极值、方向导数。</t>
  </si>
  <si>
    <t>基本定义、经典反例库。</t>
  </si>
  <si>
    <t>2023、2025、2026</t>
  </si>
  <si>
    <t>每章穿插20题</t>
  </si>
  <si>
    <t>2010—2026专题考频与趋势</t>
  </si>
  <si>
    <t>直接考查估计为多标签人工编码区间；工具性出现与趋势用于决定复习优先级。</t>
  </si>
  <si>
    <t>模块</t>
  </si>
  <si>
    <t>直接考查估计</t>
  </si>
  <si>
    <t>工具性出现</t>
  </si>
  <si>
    <t>常见分值</t>
  </si>
  <si>
    <t>频率</t>
  </si>
  <si>
    <t>依据</t>
  </si>
  <si>
    <t>函数、极限与连续</t>
  </si>
  <si>
    <t>函数概念、定义域与性质</t>
  </si>
  <si>
    <t>5—7/17</t>
  </si>
  <si>
    <t>几乎每卷</t>
  </si>
  <si>
    <t>5分，或作为后续题的入口条件</t>
  </si>
  <si>
    <t>中频／工具型高频</t>
  </si>
  <si>
    <t>稳定；抽象逻辑题略升温</t>
  </si>
  <si>
    <t>分段函数、定义域、奇偶单调、函数关系建立常嵌入极限、积分与证明题。</t>
  </si>
  <si>
    <t>极限计算与存在性</t>
  </si>
  <si>
    <t>13—15/17</t>
  </si>
  <si>
    <t>每卷</t>
  </si>
  <si>
    <t>5—10分；综合题中可占关键步骤</t>
  </si>
  <si>
    <t>等价无穷小、Taylor、洛必达、夹逼、数列与函数极限反复出现。</t>
  </si>
  <si>
    <t>连续、间断点、闭区间性质</t>
  </si>
  <si>
    <t>6—8/17</t>
  </si>
  <si>
    <t>高</t>
  </si>
  <si>
    <t>5分或证明题条件</t>
  </si>
  <si>
    <t>概念辨析升温</t>
  </si>
  <si>
    <t>左右连续、分段参数、介值定理和反例题近年更受重视。</t>
  </si>
  <si>
    <t>求导、微分、隐函数与参数方程</t>
  </si>
  <si>
    <t>11—13/17</t>
  </si>
  <si>
    <t>5—10分</t>
  </si>
  <si>
    <t>导数定义、高阶导、隐式与参数二阶导是稳定计算入口。</t>
  </si>
  <si>
    <t>中值定理与构造性证明</t>
  </si>
  <si>
    <t>7—9/17</t>
  </si>
  <si>
    <t>10—12分证明题</t>
  </si>
  <si>
    <t>近六年偏强</t>
  </si>
  <si>
    <t>存在点、零点链、多次Rolle、积分辅助函数是压轴常见结构。</t>
  </si>
  <si>
    <t>单调、极值、凹凸、渐近线、作图</t>
  </si>
  <si>
    <t>10—12/17</t>
  </si>
  <si>
    <t>稳定；反例型增加</t>
  </si>
  <si>
    <t>常与变上限积分、参数函数、不等式和根的个数结合。</t>
  </si>
  <si>
    <t>不定积分与定积分计算</t>
  </si>
  <si>
    <t>12—14/17</t>
  </si>
  <si>
    <t>5—12分</t>
  </si>
  <si>
    <t>换元、分部、对称、分段、有理化是所有积分模块的运算基础。</t>
  </si>
  <si>
    <t>变上限积分与Riemann和</t>
  </si>
  <si>
    <t>8—10/17</t>
  </si>
  <si>
    <t>近年稳定偏强</t>
  </si>
  <si>
    <t>常与奇偶性、极值、微分方程、积分方程组合。</t>
  </si>
  <si>
    <t>反常积分与参数敛散</t>
  </si>
  <si>
    <t>中高</t>
  </si>
  <si>
    <t>比较、等价、分部积分、与级数对应是常见考法。</t>
  </si>
  <si>
    <t>几何与物理应用</t>
  </si>
  <si>
    <t>2—4/17</t>
  </si>
  <si>
    <t>低</t>
  </si>
  <si>
    <t>弱化但仍在大纲</t>
  </si>
  <si>
    <t>面积、体积、弧长仍需会；压力、引力、质心等更偏边缘。</t>
  </si>
  <si>
    <t>向量与空间解析几何</t>
  </si>
  <si>
    <t>向量运算、直线平面与距离</t>
  </si>
  <si>
    <t>4—6/17</t>
  </si>
  <si>
    <t>5分或多元题前置</t>
  </si>
  <si>
    <t>中频／工具型</t>
  </si>
  <si>
    <t>直接题不密集，但切平面、Stokes、曲面积分高度依赖。</t>
  </si>
  <si>
    <t>曲面、空间曲线、投影与二次曲面</t>
  </si>
  <si>
    <t>3—5/17</t>
  </si>
  <si>
    <t>常作为重积分区域、曲面法向、交线切线的几何载体。</t>
  </si>
  <si>
    <t>复合函数、全微分与隐函数</t>
  </si>
  <si>
    <t>近年升温</t>
  </si>
  <si>
    <t>链式法则、Jacobian条件、混合偏导、全微分综合频繁。</t>
  </si>
  <si>
    <t>方向导数、梯度、切平面与法线</t>
  </si>
  <si>
    <t>常与空间几何、最速方向、曲线曲面交线结合。</t>
  </si>
  <si>
    <t>无条件、条件与闭区域极值</t>
  </si>
  <si>
    <t>10—12分</t>
  </si>
  <si>
    <t>近年偏强</t>
  </si>
  <si>
    <t>Hessian、退化点、Lagrange、边界与角点构成稳定综合题。</t>
  </si>
  <si>
    <t>二重积分与换序／极坐标</t>
  </si>
  <si>
    <t>区域识别、换序、对称和变量变换是重积分核心。</t>
  </si>
  <si>
    <t>三重积分与柱／球坐标</t>
  </si>
  <si>
    <t>立体扫描、截面法、球柱坐标和对称性轮换命题。</t>
  </si>
  <si>
    <t>曲线积分、Green与路径无关</t>
  </si>
  <si>
    <t>补线Green升温</t>
  </si>
  <si>
    <t>直接法、势函数、开曲线补线、带孔区域是主要变式。</t>
  </si>
  <si>
    <t>曲面积分、Gauss与通量</t>
  </si>
  <si>
    <t>法向、补面、散度、三重积分组合度高。</t>
  </si>
  <si>
    <t>Stokes、散度、旋度</t>
  </si>
  <si>
    <t>中</t>
  </si>
  <si>
    <t>间歇出现</t>
  </si>
  <si>
    <t>单独频率低于Green/Gauss，但一旦出现常为综合题。</t>
  </si>
  <si>
    <t>数项级数与绝对／条件收敛</t>
  </si>
  <si>
    <t>概念逻辑题升温</t>
  </si>
  <si>
    <t>判敛法选择、参数临界、绝对与条件收敛是稳定考点。</t>
  </si>
  <si>
    <t>幂级数收敛域、运算与和函数</t>
  </si>
  <si>
    <t>稳定偏强</t>
  </si>
  <si>
    <t>端点逐判、逐项积分求导、数值和与ODE组合。</t>
  </si>
  <si>
    <t>Taylor展开</t>
  </si>
  <si>
    <t>5—10分或极限工具</t>
  </si>
  <si>
    <t>虽不总以“级数题”出现，但极限、证明、积分都依赖。</t>
  </si>
  <si>
    <t>5分，偶有10分</t>
  </si>
  <si>
    <t>中低频</t>
  </si>
  <si>
    <t>奇偶性、半区间延拓、跳点半和轮换出现。</t>
  </si>
  <si>
    <t>一阶方程分类与求解</t>
  </si>
  <si>
    <t>可分离、线性、齐次、Bernoulli、恰当是必备类型。</t>
  </si>
  <si>
    <t>高阶线性、可降阶与Euler</t>
  </si>
  <si>
    <t>常系数非齐次为主，可降阶和Euler间歇考查。</t>
  </si>
  <si>
    <t>ODE与积分／多元全微分综合</t>
  </si>
  <si>
    <t>由变上限积分、混合偏导或建模导出方程，区分度较高。</t>
  </si>
  <si>
    <t>2010—2026高等数学主标签矩阵</t>
  </si>
  <si>
    <t>年份标签用于追踪命题组合，不代表该年全部题目；2022按可核验范围保守编码。</t>
  </si>
  <si>
    <t>年份</t>
  </si>
  <si>
    <t>高数主标签</t>
  </si>
  <si>
    <t>备注</t>
  </si>
  <si>
    <t>2010</t>
  </si>
  <si>
    <t>极限；隐函数/多元微分；反常积分；二重积分Riemann和；参数方程二阶导；定积分；曲线积分；三重积分质心；常系数ODE；变上限积分；幂级数；切平面</t>
  </si>
  <si>
    <t>早期经典综合结构较完整。</t>
  </si>
  <si>
    <t>2011</t>
  </si>
  <si>
    <t>拐点；幂级数端点；多元极值条件；积分比较；弧长；一阶ODE；多元复合；Stokes；指数型极限；根的个数；积分不等式；二重积分</t>
  </si>
  <si>
    <t>向量积分与级数并重。</t>
  </si>
  <si>
    <t>2012</t>
  </si>
  <si>
    <t>微分方程填空；不等式证明；多元极值；极限与积分常规题</t>
  </si>
  <si>
    <t>公开文本质量有限，标签按可核验题面与多源解析编码。</t>
  </si>
  <si>
    <t>2013</t>
  </si>
  <si>
    <t>变上限积分；二重积分；分部积分；幂级数与ODE；多元极值；中值定理证明</t>
  </si>
  <si>
    <t>证明与积分综合突出。</t>
  </si>
  <si>
    <t>2014</t>
  </si>
  <si>
    <t>积分/极限；隐函数最大值；多元链式求导导出ODE；曲线积分/势函数</t>
  </si>
  <si>
    <t>多元微分与ODE组合典型。</t>
  </si>
  <si>
    <t>2015</t>
  </si>
  <si>
    <t>极限；定积分对称；隐函数微分；三重积分；Taylor/等价；ODE几何；梯度与条件极值</t>
  </si>
  <si>
    <t>坐标与多元极值覆盖较全。</t>
  </si>
  <si>
    <t>2016</t>
  </si>
  <si>
    <t>极限；旋度；隐函数微分；高阶导/Taylor；二重极坐标；常系数ODE与反常积分</t>
  </si>
  <si>
    <t>Taylor与向量场均有代表题。</t>
  </si>
  <si>
    <t>2017</t>
  </si>
  <si>
    <t>多元复合；Riemann和；隐函数极值；中值定理证明；幂级数</t>
  </si>
  <si>
    <t>构造证明与多元链式法则明显。</t>
  </si>
  <si>
    <t>2018</t>
  </si>
  <si>
    <t>积分方法；条件优化；曲面积分/Gauss；一阶ODE；递推与极限</t>
  </si>
  <si>
    <t>曲面积分和最优化综合度高。</t>
  </si>
  <si>
    <t>2019</t>
  </si>
  <si>
    <t>一阶ODE与凹凸；梯度/最大方向导数；曲面面积；反常积分/面积；开曲线积分</t>
  </si>
  <si>
    <t>概念、几何应用与向量积分结合。</t>
  </si>
  <si>
    <t>2020</t>
  </si>
  <si>
    <t>极限；参数方程二阶导；ODE与反常积分；多元极值；曲线积分；幂级数和函数</t>
  </si>
  <si>
    <t>典型综合方法齐全。</t>
  </si>
  <si>
    <t>2021</t>
  </si>
  <si>
    <t>连续/可导/极值逻辑；多元全微分；Taylor；Riemann和；反常积分；参数二阶导；Euler方程；曲面积分/Gauss；变上限积分；函数项级数；空间曲线/条件极值；二重积分/Green</t>
  </si>
  <si>
    <t>新题型结构实施后，知识覆盖密度高。</t>
  </si>
  <si>
    <t>2022</t>
  </si>
  <si>
    <t>极限、微分、积分、多元与ODE常规模块</t>
  </si>
  <si>
    <t>当前公开归档的可机读文本不完整，本报告不对该年做过细次数宣称。</t>
  </si>
  <si>
    <t>2023</t>
  </si>
  <si>
    <t>斜渐近线；常系数ODE有界性；分段可导参数；绝对收敛逻辑；等价无穷小；切平面；Fourier；周期函数积分；ODE建模与变上限最值；多元极值；Gauss；中值/Taylor证明</t>
  </si>
  <si>
    <t>概念判断和构造性证明较强。</t>
  </si>
  <si>
    <t>2024</t>
  </si>
  <si>
    <t>变上限积分奇偶；曲面方向；幂级数系数和；导数定义极限；指数型极限；多元二阶导；Fourier；一阶ODE代换；二重极坐标；切平面/闭域最值；Taylor/积分不等式；Stokes</t>
  </si>
  <si>
    <t>方向、条件与方法选择要求高。</t>
  </si>
  <si>
    <t>2025</t>
  </si>
  <si>
    <t>变上限积分/极值/拐点；级数绝对与条件/Taylor；逻辑关系与反例；二重积分换序；x^x极限；Fourier；方向导数；Green；有理定积分；链式法则与ODE；中值证明；Gauss</t>
  </si>
  <si>
    <t>反例意识、条件辨析明显。</t>
  </si>
  <si>
    <t>2026</t>
  </si>
  <si>
    <t>多元隐函数与微分不变性；幂级数收敛域；凹凸与差商反例；三重球坐标；级数敛散；Taylor极限；参数二阶导；反常积分；多元极值；恰当/混合偏导与ODE；开曲线补线Green；定积分不等式与Rolle链</t>
  </si>
  <si>
    <t>题面再次强调概念逻辑、方法选择和跨章节综合。</t>
  </si>
  <si>
    <t>易混淆概念对比与反例库</t>
  </si>
  <si>
    <t>复习时应能口述定义差异、逻辑方向、反例和判断流程。</t>
  </si>
  <si>
    <t>对比组</t>
  </si>
  <si>
    <t>定义差异</t>
  </si>
  <si>
    <t>逻辑关系</t>
  </si>
  <si>
    <t>反例</t>
  </si>
  <si>
    <t>判断方法</t>
  </si>
  <si>
    <t>真题陷阱</t>
  </si>
  <si>
    <t>极限存在 vs 函数在该点有定义</t>
  </si>
  <si>
    <t>极限只看去心邻域中的趋近行为；点值是函数在该点的实际赋值。</t>
  </si>
  <si>
    <t>两者互不推出。连续才要求“极限存在＝点值”。</t>
  </si>
  <si>
    <t>f(x)=sin x/x（x≠0）在0处极限为1但未定义；另取f(0)=0、f(x)=sin(1/x)（x≠0），0处有定义但极限不存在。</t>
  </si>
  <si>
    <t>先遮住点值看左右极限，再单独检查f(a)。</t>
  </si>
  <si>
    <t>用直接代入替代极限；把可去间断点误判为连续。</t>
  </si>
  <si>
    <t>数列极限 vs 函数极限</t>
  </si>
  <si>
    <t>数列只沿离散整数指标n→∞；函数极限要求自变量沿规定邻域内所有路径趋近。</t>
  </si>
  <si>
    <t>函数极限可推出任意满足条件的序列函数值极限；反向需对所有趋近序列成立。</t>
  </si>
  <si>
    <t>函数在不同路径/不同序列上取不同极限，说明函数极限不存在。</t>
  </si>
  <si>
    <t>数列常用单调有界、夹逼；函数可用左右极限、路径法。</t>
  </si>
  <si>
    <t>递推数列先假设收敛再代入；多元极限只验一条路径。</t>
  </si>
  <si>
    <t>连续、可导、可微（一元）</t>
  </si>
  <si>
    <t>连续：增量趋零时函数增量趋零；可导：差商有有限极限；可微：增量可写成AΔx+o(Δx)。</t>
  </si>
  <si>
    <t>一元中可导⇔可微⇒连续；连续不必可导。</t>
  </si>
  <si>
    <t>|x|在0连续但不可导。</t>
  </si>
  <si>
    <t>分段点先连续，再验左右导数；可微系数就是导数。</t>
  </si>
  <si>
    <t>跳过连续直接求导；把导数不存在等同函数不连续。</t>
  </si>
  <si>
    <t>无穷小、同阶无穷小、等价无穷小</t>
  </si>
  <si>
    <t>无穷小趋0；同阶要求比值趋非零常数；等价要求比值趋1。</t>
  </si>
  <si>
    <t>等价⇒同阶⇒同为无穷小（在相应条件下），逆命题不成立。</t>
  </si>
  <si>
    <t>2x与x同阶但不等价；x与x²均为无穷小但不同阶。</t>
  </si>
  <si>
    <t>计算α/β的极限；0、有限非零、1分别对应高阶/同阶/等价关系。</t>
  </si>
  <si>
    <t>在加减式中机械替换等价无穷小，造成主项抵消后阶数错误。</t>
  </si>
  <si>
    <t>极限四则运算 vs 洛必达法则</t>
  </si>
  <si>
    <t>四则运算基于各分量极限存在且分母极限非零；洛必达只处理0/0或∞/∞型且需邻域可导等条件。</t>
  </si>
  <si>
    <t>洛必达是条件性工具，不是所有未定式的通用法。</t>
  </si>
  <si>
    <t>0·∞、∞−∞、1^∞不能原式直接洛必达，须先变形。</t>
  </si>
  <si>
    <t>先代入判型，再检查可导、分母导数非零与导数比极限。</t>
  </si>
  <si>
    <t>导数比仍无极限却断言原极限不存在；忽略单侧与定义域。</t>
  </si>
  <si>
    <t>原函数存在 vs 不定积分 vs 定积分存在</t>
  </si>
  <si>
    <t>原函数是导数等于给定函数的函数；不定积分是全部原函数族；定积分是Riemann和极限。</t>
  </si>
  <si>
    <t>连续函数在区间上有原函数且可积；可积函数不一定有原函数。</t>
  </si>
  <si>
    <t>有跳跃的阶梯函数可Riemann可积，但若在跳点是导函数会违背Darboux性质，故无原函数。</t>
  </si>
  <si>
    <t>原函数问题看是否可能是导函数；定积分看有界与间断点性质。</t>
  </si>
  <si>
    <t>把“可积”当“存在原函数”；不定积分漏常数C。</t>
  </si>
  <si>
    <t>变上限积分函数 vs 普通定积分</t>
  </si>
  <si>
    <t>∫_a^x f(t)dt是关于x的函数；∫_a^b f(x)dx是常数。</t>
  </si>
  <si>
    <t>f连续时，变上限积分可导且导数为f(x)；上下限均变时需链式法则。</t>
  </si>
  <si>
    <t>∫_0^x |t|dt可导，但二阶导在0不存在。</t>
  </si>
  <si>
    <t>先区分积分变量与自由变量；复杂上限用Newton–Leibniz＋链式法则。</t>
  </si>
  <si>
    <t>把积分变量t当自由变量；上下限反向时漏负号。</t>
  </si>
  <si>
    <t>局部极值 vs 闭区间/闭区域最值</t>
  </si>
  <si>
    <t>极值只比较某邻域；最值比较整个指定集合。</t>
  </si>
  <si>
    <t>全局最值点可能在内部驻点、不可导点或边界；局部极值未必是全局最值。</t>
  </si>
  <si>
    <t>f(x)=x³−3x在大区间有局部极值，但端点可能给出更大/更小值。</t>
  </si>
  <si>
    <t>极值做局部导数/Hessian；闭域最值必须“内部＋边界＋角点”统一比较。</t>
  </si>
  <si>
    <t>闭区域只查∇f=0；把局部极小直接写成最小值。</t>
  </si>
  <si>
    <t>驻点、极值点、不可导点</t>
  </si>
  <si>
    <t>驻点指可导且导数为0；极值点按邻域比较定义；不可导点是导数不存在。</t>
  </si>
  <si>
    <t>极值点可能是驻点也可能不可导；驻点不一定是极值点。</t>
  </si>
  <si>
    <t>x³在0是驻点但非极值；|x|在0是极小点但非驻点。</t>
  </si>
  <si>
    <t>先列驻点与不可导点，再用导数变号或定义判定。</t>
  </si>
  <si>
    <t>“f′=0”为极值充分条件；漏掉尖点/端点。</t>
  </si>
  <si>
    <t>拐点 vs 二阶导数为零</t>
  </si>
  <si>
    <t>拐点要求曲线凹凸性在该点两侧改变；f″(a)=0只是候选条件之一。</t>
  </si>
  <si>
    <t>可二阶导时，拐点常伴随f″变号；f″(a)=0既非充分也非必要。</t>
  </si>
  <si>
    <t>x⁴在0二阶导为0但无拐点；x^{1/3}在0可有凹凸变化但二阶导不存在。</t>
  </si>
  <si>
    <t>检查f″在两侧符号，或验证切线两侧位置变化。</t>
  </si>
  <si>
    <t>只解f″=0就报拐点；忘写拐点坐标。</t>
  </si>
  <si>
    <t>偏导存在、偏导连续、可微（多元）</t>
  </si>
  <si>
    <t>偏导只沿坐标轴方向；可微要求全方向的线性主部；偏导连续是更强的局部正则性条件。</t>
  </si>
  <si>
    <t>一阶偏导在邻域存在且在点连续⇒可微⇒连续且偏导存在；仅偏导存在不能推出连续或可微。</t>
  </si>
  <si>
    <t>f(x,y)=xy/√(x²+y²)（原点补0）在原点偏导存在但不可微。</t>
  </si>
  <si>
    <t>可微性用增量减去线性主部后除以ρ；偏导连续可作充分条件。</t>
  </si>
  <si>
    <t>看到偏导存在就写全微分；只沿坐标轴验二重极限。</t>
  </si>
  <si>
    <t>方向导数 vs 梯度 vs 全微分</t>
  </si>
  <si>
    <t>方向导数是沿指定单位方向的变化率；梯度是由偏导组成的向量；全微分是线性映射。</t>
  </si>
  <si>
    <t>可微时D_u f=∇f·u，最大方向导数为|∇f|；仅方向导数存在时公式未必成立。</t>
  </si>
  <si>
    <t>存在所有方向导数但不可微的分段齐次函数。</t>
  </si>
  <si>
    <t>先确认可微，再用点积；题给方向向量先单位化。</t>
  </si>
  <si>
    <t>方向向量未单位化；把梯度本身当方向导数数值。</t>
  </si>
  <si>
    <t>无条件极值 vs 条件极值</t>
  </si>
  <si>
    <t>无条件极值在开域内自由变化；条件极值限制在g(x,y,…)=0的约束集合。</t>
  </si>
  <si>
    <t>条件极值点不必满足∇f=0；正规点常满足∇f=λ∇g。</t>
  </si>
  <si>
    <t>f=x在单位圆上有最大最小，但∇f从不为0。</t>
  </si>
  <si>
    <t>无约束解梯度零；有约束用消元或Lagrange，并检查约束退化点。</t>
  </si>
  <si>
    <t>漏写约束方程；除以变量漏零解；把乘子λ当目标值。</t>
  </si>
  <si>
    <t>绝对收敛、条件收敛、发散</t>
  </si>
  <si>
    <t>∑|u_n|收敛称绝对收敛；∑u_n收敛但绝对值级数发散称条件收敛。</t>
  </si>
  <si>
    <t>绝对收敛⇒收敛；条件收敛也是收敛；逆命题不成立。</t>
  </si>
  <si>
    <t>交错调和级数条件收敛，调和级数发散。</t>
  </si>
  <si>
    <t>变号级数先判绝对值级数，再判原级数。</t>
  </si>
  <si>
    <t>只用Leibniz就写“绝对收敛”；忽略通项趋零必要条件。</t>
  </si>
  <si>
    <t>数项级数 vs 函数项级数 vs 幂级数</t>
  </si>
  <si>
    <t>数项级数每项为数；函数项级数每项为函数；幂级数是特殊函数项级数∑a_n(x−x0)^n。</t>
  </si>
  <si>
    <t>固定x后函数项级数变数项级数；幂级数在收敛半径内可逐项求导积分。</t>
  </si>
  <si>
    <t>端点处幂级数的敛散性不能由半径自动决定。</t>
  </si>
  <si>
    <t>先求半径，再逐端点代回原数项级数。</t>
  </si>
  <si>
    <t>把收敛区间端点自动包含；逐项操作后不说明范围。</t>
  </si>
  <si>
    <t>第一类曲线积分 vs 第二类曲线积分</t>
  </si>
  <si>
    <t>第一类为∫_L f ds，对弧长积分；第二类为∫_L Pdx+Qdy+Rdz，对坐标/向量场做功积分。</t>
  </si>
  <si>
    <t>第一类与方向无关；第二类一般随方向反号。两者均可参数化为一元积分。</t>
  </si>
  <si>
    <t>同一路径反向时第一类值不变，第二类值变号。</t>
  </si>
  <si>
    <t>看微元是ds还是dx,dy,dz；第二类再检查势函数/Green/Stokes。</t>
  </si>
  <si>
    <t>第一类积分反向变号；第二类漏参数方向。</t>
  </si>
  <si>
    <t>第一类曲面积分 vs 第二类曲面积分</t>
  </si>
  <si>
    <t>第一类为∫∫_Σ f dS，对面积；第二类为通量形式Pdy dz+Qdz dx+Rdx dy。</t>
  </si>
  <si>
    <t>第一类与法向侧无关；第二类反向改变符号。</t>
  </si>
  <si>
    <t>同一曲面改取下侧，第一类不变，第二类取负。</t>
  </si>
  <si>
    <t>看微元是dS还是有向面积元；显式曲面分别用面积因子或法向分量。</t>
  </si>
  <si>
    <t>把√(1+z_x²+z_y²)直接套到第二类；漏法向方向。</t>
  </si>
  <si>
    <t>Green、Gauss、Stokes公式</t>
  </si>
  <si>
    <t>Green把平面闭曲线积分转二重积分；Gauss把闭曲面通量转三重积分；Stokes把空间闭曲线积分转跨越曲面的旋度通量。</t>
  </si>
  <si>
    <t>Green可视为Stokes的平面特例；三者都要求边界定向与区域内正则性。</t>
  </si>
  <si>
    <t>开曲线或开曲面不能未经补边直接套相应闭合公式。</t>
  </si>
  <si>
    <t>先识别对象维数与是否闭合，再查方向、奇点、光滑条件。</t>
  </si>
  <si>
    <t>公式串台；区域含奇点仍直接使用；补线/补面方向错误。</t>
  </si>
  <si>
    <t>通解、特解、初值问题</t>
  </si>
  <si>
    <t>通解含足够多独立任意常数；特解是满足方程的某个具体解；初值问题在给定初始条件下选定解。</t>
  </si>
  <si>
    <t>n阶常微分方程的一般通解通常含n个独立常数；奇解/漏解需另查。</t>
  </si>
  <si>
    <t>分离变量时除以y可能漏掉常值解y=0。</t>
  </si>
  <si>
    <t>求解过程中记录被除因子；最后代初值并核定义区间。</t>
  </si>
  <si>
    <t>少写积分常数；把非齐次特解当通解；跨越系数奇点。</t>
  </si>
  <si>
    <t>恰当微分方程 vs 全微分存在</t>
  </si>
  <si>
    <t>Mdx+Ndy=0恰当指存在势函数F使dF=Mdx+Ndy；多元函数的全微分是可微性的线性主部。</t>
  </si>
  <si>
    <t>在单连通域且M_y=N_x时可判恰当；势函数的等值线给隐式通解。</t>
  </si>
  <si>
    <t>在有孔区域交叉偏导相等未必存在全局单值势函数。</t>
  </si>
  <si>
    <t>先查定义域拓扑和偏导连续，再积分一个分量并补单变量函数。</t>
  </si>
  <si>
    <t>只验M_y=N_x不看定义域；势函数漏补函数。</t>
  </si>
  <si>
    <t>反常积分收敛 vs 被积函数趋零</t>
  </si>
  <si>
    <t>收敛要求截断积分极限有限；被积函数趋零既非充分也非必要（有限端点型）。</t>
  </si>
  <si>
    <t>无穷区间上收敛通常不要求简单点态条件即可判断；比较阶是核心。</t>
  </si>
  <si>
    <t>1/x→0但∫_1^∞1/x dx发散；sin x²的情形说明振荡可带来条件收敛（超出常规直接比较）。</t>
  </si>
  <si>
    <t>拆开所有瑕点，局部等价到p型或用比较/分部。</t>
  </si>
  <si>
    <t>只看函数极限；多个瑕点只检查一个；把发散积分做Newton–Leibniz。</t>
  </si>
  <si>
    <t>五阶段复习优先级与过关判据</t>
  </si>
  <si>
    <t>阶段过关以可测量的正确率、方法识别、复错率和限时表现为准。</t>
  </si>
  <si>
    <t>阶段</t>
  </si>
  <si>
    <t>核心任务</t>
  </si>
  <si>
    <t>熟练度目标</t>
  </si>
  <si>
    <t>过关判据</t>
  </si>
  <si>
    <t>建议占总复习时间</t>
  </si>
  <si>
    <t>零基础阶段</t>
  </si>
  <si>
    <t>函数与初等代数补缺；极限定义与常用等价；基本求导、基本积分；坐标与向量；数列/级数基本语言。</t>
  </si>
  <si>
    <t>能不看表写出基本公式；单步题正确率≥85%；每一步能写成立条件。</t>
  </si>
  <si>
    <t>30道基础混合题限时90分钟，定义域/极限/求导/积分正确率≥80%，错题中“公式不会”类不超过2道。</t>
  </si>
  <si>
    <t>约25%</t>
  </si>
  <si>
    <t>基础完成阶段</t>
  </si>
  <si>
    <t>完成10章一轮；掌握中值定理、Taylor、变上限、反常积分、多元链式、重积分坐标、级数判敛、ODE分类。</t>
  </si>
  <si>
    <t>看到题干能在30秒内说出候选方法；常规计算题步骤完整。</t>
  </si>
  <si>
    <t>按章测试平均≥75%；51类题型中至少35类能独立完成标准题；条件检查漏项率&lt;10%。</t>
  </si>
  <si>
    <t>强化阶段</t>
  </si>
  <si>
    <t>建立题型决策树；训练中值证明、积分不等式、多元极值、区域变换、三大公式选择、幂级数和函数、ODE综合。</t>
  </si>
  <si>
    <t>同题能比较两种方法；复杂计算能分块验算；综合题至少拿到70%过程分。</t>
  </si>
  <si>
    <t>高数综合卷（按约90分配置）稳定≥65分；12道证明/综合题至少8道能独立写完。</t>
  </si>
  <si>
    <t>真题阶段</t>
  </si>
  <si>
    <t>2010—2026逐年限时；每题做“主考点＋工具考点＋失分原因＋替代法”四标签复盘。</t>
  </si>
  <si>
    <t>能识别命题变形，不依赖章节提示；时间分配稳定。</t>
  </si>
  <si>
    <t>最近10套高数部分滚动均分达到目标分的90%；二刷错题复错率&lt;15%；每套至少留15分钟全卷检查。</t>
  </si>
  <si>
    <t>约20%</t>
  </si>
  <si>
    <t>冲刺阶段</t>
  </si>
  <si>
    <t>回归大纲边界、公式条件、反例库与错题；保持计算手感；做少量全真模拟。</t>
  </si>
  <si>
    <t>S/A点无结构性盲区；长题会止损，先保基础与中档分。</t>
  </si>
  <si>
    <t>连续3套模拟中，基础题非智力失分≤5分；高数部分时间不失控；能口述所有高频方法选择信号。</t>
  </si>
  <si>
    <t>约5%</t>
  </si>
  <si>
    <t>262个原子知识点查漏清单</t>
  </si>
  <si>
    <t>状态列可下拉选择；完成率会自动汇总到“使用说明”。复盘次数和日期由考生自行维护。</t>
  </si>
  <si>
    <t>知识点与必会动作</t>
  </si>
  <si>
    <t>复盘次数</t>
  </si>
  <si>
    <t>最后复习日期</t>
  </si>
  <si>
    <t>个人备注</t>
  </si>
  <si>
    <t>平移、伸缩、对称与复合图像：能由基本图像快速得到 $f(ax+b)$、$af(x)+b$、$|f(x)|$、$f(|x|)$。</t>
  </si>
  <si>
    <t>有界性：区分上有界、下有界、有界；会由不等式、单调性、连续性判断。</t>
  </si>
  <si>
    <t>单调性：按定义比较函数值；熟练用导数判定；区分严格与非严格单调。</t>
  </si>
  <si>
    <t>奇偶性：先检查定义域关于原点对称，再比较 $f(-x)$ 与 $f(x)$。</t>
  </si>
  <si>
    <t>周期性与最小正周期：会判断和、积、复合函数的周期；理解有周期不必有最小正周期。</t>
  </si>
  <si>
    <t>复合函数性质：会判断复合函数的奇偶、单调、周期与有界性。</t>
  </si>
  <si>
    <t>函数与对应关系：会从“每个自变量唯一对应函数值”判断是否为函数；区分函数表达式与函数本身。</t>
  </si>
  <si>
    <t>指数、对数、幂函数：掌握定义域、单调性、图像、基本恒等式及参数影响。</t>
  </si>
  <si>
    <t>三角与反三角函数：掌握定义域、值域、周期、奇偶、单调区间和基本恒等变换。</t>
  </si>
  <si>
    <t>复合函数：理解复合层次并正确拆解；会处理多层链式结构。</t>
  </si>
  <si>
    <t>反函数存在性与性质：会用严格单调保证反函数；掌握图像关于 $y=x$ 对称。</t>
  </si>
  <si>
    <t>基本初等函数定义域：熟练处理分母非零、偶次根号内非负、对数真数正、反三角函数自变量范围。</t>
  </si>
  <si>
    <t>复合函数定义域：先令内层函数有定义，再要求其值落入外层函数定义域。</t>
  </si>
  <si>
    <t>隐函数概念：理解方程 $F(x,y)=0$ 何时局部确定 $y=f(x)$。</t>
  </si>
  <si>
    <t>分段函数：会分别研究各段，并在分界点用极限、函数值、左右导数拼接。</t>
  </si>
  <si>
    <t>有限点函数极限的定义：理解去心邻域与函数值无关；会写左右极限定义。</t>
  </si>
  <si>
    <t>左右极限与双侧极限：会分别计算并用“左右相等”判断双侧极限。</t>
  </si>
  <si>
    <t>无穷处与无穷函数极限：会处理 $x\to\infty$、$x\to-\infty$ 与 $f(x)\to\infty$ 的定义和运算。</t>
  </si>
  <si>
    <t>函数极限四则运算与复合极限：会在条件满足时直接代入；识别不能拆分的未定式。</t>
  </si>
  <si>
    <t>第一重要极限：掌握 $\lim_{x\to0}\sin x/x=1$ 及其变形。</t>
  </si>
  <si>
    <t>第二重要极限与 $e$：掌握 $(1+1/n)^n\to e$、$(1+x)^{1/x}\to e$ 及一般化。</t>
  </si>
  <si>
    <t>柯西收敛准则与 Stolz 定理：知道它们不是现行数学一大纲明确方法，真题优先用大纲内工具。</t>
  </si>
  <si>
    <t>数列极限的 $\varepsilon$-$N$ 定义：能按定义解释“任意精度最终都进入邻域”；会做最基础的定义证明。</t>
  </si>
  <si>
    <t>收敛数列的唯一性：理解一个数列不可能收敛到两个不同极限。</t>
  </si>
  <si>
    <t>收敛数列有界性与保号性：掌握收敛必有界；极限为正时充分靠后项为正。</t>
  </si>
  <si>
    <t>子列与聚点判据：理解收敛数列任一子列同极限；会用两子列不同极限证明发散。</t>
  </si>
  <si>
    <t>数列极限四则运算：熟练处理和差积商与常数倍；商法则先检查分母极限非零。</t>
  </si>
  <si>
    <t>夹逼准则：会构造上下界并证明两端同极限。</t>
  </si>
  <si>
    <t>单调有界准则：会证明递推数列单调且有界，从而得到收敛性。</t>
  </si>
  <si>
    <t>递推数列极限：会用不动点方程求候选，并用单调有界、压缩或夹逼证明存在。</t>
  </si>
  <si>
    <t>无穷小、无穷大及互为倒数：会在指定过程下判断；区分“无穷小量”与常数0。</t>
  </si>
  <si>
    <t>同阶、高阶、低阶与等价无穷小：会用比值极限分类，并掌握 $o,O,\sim$ 的含义。</t>
  </si>
  <si>
    <t>常用等价无穷小：熟记并能推导 $x\to0$ 时三角、指数、对数、根式等价式。</t>
  </si>
  <si>
    <t>等价无穷小替换规则：理解等价替换主要安全用于乘积和商；加减结构先提取或展开。</t>
  </si>
  <si>
    <t>函数极限的夹逼准则：会利用绝对值、积分界、三角界构造夹逼。</t>
  </si>
  <si>
    <t>函数极限的序列判据（海涅定理）：理解函数极限存在等价于任意趋近点列的函数值都趋同一极限。</t>
  </si>
  <si>
    <t>代数化简、因式分解与有理化：会针对 $0/0$ 消去公因子、通分、共轭有理化。</t>
  </si>
  <si>
    <t>幂指型极限的对数化：统一处理 $0^0,1^\infty,\infty^0$ 型。</t>
  </si>
  <si>
    <t>初等函数与复合函数连续性：会在定义域内直接用连续性代入求极限。</t>
  </si>
  <si>
    <t>函数在一点连续：会用极限等于函数值判断；理解连续包含有定义、极限存在、二者相等。</t>
  </si>
  <si>
    <t>左连续、右连续与区间连续：会在端点和分段点使用单侧连续。</t>
  </si>
  <si>
    <t>间断点分类：会区分可去、跳跃、无穷和振荡间断。</t>
  </si>
  <si>
    <t>有界性与最大最小值定理：理解闭区间连续函数必有界且能取到最大、最小值。</t>
  </si>
  <si>
    <t>零点定理与介值定理：会通过端点异号证明至少一个零点；会证明函数取某中间值。</t>
  </si>
  <si>
    <t>一致连续性（教材扩展）：知道闭区间连续蕴含一致连续；一般不作为数学一独立要求。</t>
  </si>
  <si>
    <t>罗尔定理：会核验闭区间连续、开区间可导、端点等值，并构造辅助函数。</t>
  </si>
  <si>
    <t>拉格朗日中值定理：会把函数增量写成某点导数乘区间长度。</t>
  </si>
  <si>
    <t>柯西中值定理：会在两个函数增量比与洛必达证明中使用。</t>
  </si>
  <si>
    <t>辅助函数构造：能从目标等式反推导数形式、端点等值或零点条件。</t>
  </si>
  <si>
    <t>曲率中心、渐屈线与方程近似解：知道同济教材含这些内容，但现行数学一大纲不要求渐屈线、渐伸线、二分法/牛顿迭代。</t>
  </si>
  <si>
    <t>导数定义与差商极限：会由定义求导、反推极限、判断不可导点。</t>
  </si>
  <si>
    <t>左导数、右导数与可导判定：会分别计算连接点左右导数。</t>
  </si>
  <si>
    <t>可导与连续关系：掌握可导必连续，连续不必可导，并能给反例。</t>
  </si>
  <si>
    <t>导数的几何与物理意义：理解切线斜率、瞬时变化率；会写切线与法线。</t>
  </si>
  <si>
    <t>单调区间判定：会求定义域、临界点并作导数符号表。</t>
  </si>
  <si>
    <t>局部极值与必要/充分条件：会用导数符号变化、一二阶条件判断极值。</t>
  </si>
  <si>
    <t>闭区间最大值最小值：会比较端点、内部驻点和不可导点的函数值。</t>
  </si>
  <si>
    <t>凹凸性与拐点：会用二阶导号判断图形弯曲方向和拐点。</t>
  </si>
  <si>
    <t>渐近线：会判水平、垂直、斜渐近线。</t>
  </si>
  <si>
    <t>函数图形描绘：综合定义域、截距、对称、单调、极值、凹凸、渐近线画草图。</t>
  </si>
  <si>
    <t>可微与微分定义：理解函数增量的线性主部，掌握 $dy=f\prime(x)dx$。</t>
  </si>
  <si>
    <t>微分运算法则与一阶形式不变性：会用微分形式进行复合计算。</t>
  </si>
  <si>
    <t>弧微分与曲率公式：会对显函数和参数曲线计算曲率。</t>
  </si>
  <si>
    <t>曲率圆、曲率半径：知道曲率半径 $\rho=1/\kappa$，了解密切圆概念。</t>
  </si>
  <si>
    <t>基本求导公式：熟练默写幂、指数、对数、三角、反三角函数导数。</t>
  </si>
  <si>
    <t>和差积商求导：熟练处理代数组合并控制化简。</t>
  </si>
  <si>
    <t>复合函数链式法则：能对多层复合逐层求导并保持结构。</t>
  </si>
  <si>
    <t>反函数求导：会用原函数导数取倒数并转换自变量。</t>
  </si>
  <si>
    <t>对数求导与幂指函数求导：会处理 $u(x)^{v(x)}$、多因子乘除与复杂幂。</t>
  </si>
  <si>
    <t>隐函数求导（一元）：会对方程两边对 $x$ 求导，视 $y=y(x)$ 并带上 $y\prime$。</t>
  </si>
  <si>
    <t>参数方程求导：掌握一阶、二阶导数公式，并检查 $dx/dt\ne0$。</t>
  </si>
  <si>
    <t>Taylor公式与余项：理解局部多项式逼近；会写Peano余项和Lagrange余项。</t>
  </si>
  <si>
    <t>常用Maclaurin展开：熟记指数、三角、对数、二项式的常用前若干项。</t>
  </si>
  <si>
    <t>Taylor极限的阶数选择：根据分母阶数和分子消去情况决定展开深度。</t>
  </si>
  <si>
    <t>$0/0$ 与 $\infty/\infty$ 型：会核验型态和可导条件，必要时多次使用。</t>
  </si>
  <si>
    <t>其他未定式的转化：会把 $0\cdot\infty$、$\infty-\infty$、幂指型转为商或对数。</t>
  </si>
  <si>
    <t>高阶导数概念与基本计算：会逐阶求导并识别周期模式。</t>
  </si>
  <si>
    <t>莱布尼茨公式：会求乘积的 $n$ 阶导数，特别是一因子为低次多项式时。</t>
  </si>
  <si>
    <t>平面图形面积：会按上下函数或极坐标计算面积，必要时分段。</t>
  </si>
  <si>
    <t>旋转体体积与截面体积：掌握圆盘/垫片法、柱壳法和已知截面积积分。</t>
  </si>
  <si>
    <t>弧长：会计算直角坐标、参数方程和极坐标曲线弧长。</t>
  </si>
  <si>
    <t>旋转曲面面积：会用弧元乘旋转周长。</t>
  </si>
  <si>
    <t>原函数概念与存在性：理解 $F\prime=f$；区分局部/区间原函数与定积分存在。</t>
  </si>
  <si>
    <t>不定积分与积分常数：理解全体原函数为 $F(x)+C$。</t>
  </si>
  <si>
    <t>基本积分公式：熟记幂、指数、三角、反三角型积分。</t>
  </si>
  <si>
    <t>无穷区间反常积分定义：会把无穷上限改写为有限上限极限并判收敛。</t>
  </si>
  <si>
    <t>无界函数反常积分定义：会在瑕点左右分别截断。</t>
  </si>
  <si>
    <t>$p$ 型反常积分：熟记无穷端和零端两套阈值。</t>
  </si>
  <si>
    <t>比较判别与极限比较：会选非负标准函数比较局部主导行为。</t>
  </si>
  <si>
    <t>绝对收敛与条件收敛（反常积分）：理解绝对收敛推出收敛；振荡积分可能条件收敛。</t>
  </si>
  <si>
    <t>变上限积分函数及连续性：理解 $F(x)=\int_a^x f(t)dt$ 是新函数。</t>
  </si>
  <si>
    <t>微积分基本定理与Newton–Leibniz公式：掌握“积分与微分互逆”和用原函数算定积分。</t>
  </si>
  <si>
    <t>复合上下限求导：会用链式法则处理 $\int_{\alpha(x)}^{\beta(x)} f(t)dt$。</t>
  </si>
  <si>
    <t>含参数积分求导（Leibniz扩展）：知道常用公式及其边界，不把它当现行大纲独立证明点。</t>
  </si>
  <si>
    <t>Riemann和极限：会把等距和式、偏移采样和非标准区间归一化为积分。</t>
  </si>
  <si>
    <t>Beta/Gamma函数与特殊积分：知道不是现行数学一明确考点；不需背特殊函数公式。</t>
  </si>
  <si>
    <t>线性、区间可加性与换向：熟练拆区间、合并积分与处理上下限反向。</t>
  </si>
  <si>
    <t>保序性、绝对值不等式与估计：会由点态不等式得到积分不等式。</t>
  </si>
  <si>
    <t>积分中值定理：会把连续函数积分写成函数某点值乘区间长度；掌握加权形式。</t>
  </si>
  <si>
    <t>定积分的Riemann和定义：理解分割、取点、最大子区间长度趋零；会识别和式极限。</t>
  </si>
  <si>
    <t>定积分存在性与可积函数：掌握连续函数可积；区分原函数存在、定积分存在。</t>
  </si>
  <si>
    <t>定积分换元法：会同步换被积函数、微分和上下限；利用对称代换。</t>
  </si>
  <si>
    <t>定积分分部积分：会保留边界项并处理周期、反常端点。</t>
  </si>
  <si>
    <t>对称性与周期性公式：会用奇偶、区间中心对称、周期缩短计算。</t>
  </si>
  <si>
    <t>功、液体压力、引力：会按微元法建立一维积分模型。</t>
  </si>
  <si>
    <t>质心、平均值与力矩：会用加权平均思想列积分。</t>
  </si>
  <si>
    <t>有理函数积分：会多项式除法、部分分式分解并积分。</t>
  </si>
  <si>
    <t>三角有理式积分：掌握万能代换及利用奇偶幂降次。</t>
  </si>
  <si>
    <t>简单无理函数积分：会通过根式代换把若干简单无理式有理化。</t>
  </si>
  <si>
    <t>第一类换元法（凑微分）：识别 $f(\varphi(x))\varphi\prime(x)$ 结构并整体代换。</t>
  </si>
  <si>
    <t>第二类换元法：会用三角、根式、倒代换消去根号或有理化。</t>
  </si>
  <si>
    <t>分部积分法：会按“降幂、去对数/反三角、制造递推”选 $u,dv$。</t>
  </si>
  <si>
    <t>常见二次曲面识别：识别椭球、双曲面、椭圆/双曲抛物面、锥面。</t>
  </si>
  <si>
    <t>直线与直线、平面与平面关系：会判平行、垂直、相交、异面及夹角。</t>
  </si>
  <si>
    <t>直线与平面关系及夹角：会由方向向量与法向量点积判断。</t>
  </si>
  <si>
    <t>向量坐标、模与单位向量：会由两点求向量、长度、单位化。</t>
  </si>
  <si>
    <t>线性运算、共线与共面：会用比例关系和线性组合判平行/共面。</t>
  </si>
  <si>
    <t>方向数与方向余弦：会从方向向量得到方向角余弦，反之构造方向向量。</t>
  </si>
  <si>
    <t>数量积与夹角：会求夹角、投影与垂直条件。</t>
  </si>
  <si>
    <t>向量积：掌握方向、模和行列式计算。</t>
  </si>
  <si>
    <t>混合积：会判共面并计算平行六面体体积。</t>
  </si>
  <si>
    <t>一般仿射坐标变换与二次曲面分类：知道完整主轴变换/矩阵分类属线性代数或解析几何扩展，不是高数常规要求。</t>
  </si>
  <si>
    <t>平面方程：会写点法式、一般式和截距式；从三点求平面。</t>
  </si>
  <si>
    <t>空间直线方程：会写参数式、对称式和两平面交线式。</t>
  </si>
  <si>
    <t>曲面方程与截痕法：理解方程 $F(x,y,z)=0$ 表示曲面；会用坐标平面截痕识别。</t>
  </si>
  <si>
    <t>旋转曲面：会由平面曲线绕坐标轴旋转写方程。</t>
  </si>
  <si>
    <t>柱面：理解缺少某变量表示母线平行相应坐标轴。</t>
  </si>
  <si>
    <t>空间曲线的参数方程与一般方程：理解一参数表示曲线；两曲面交线表示一般式。</t>
  </si>
  <si>
    <t>空间曲线投影：会消元并补充投影柱面/投影区域条件。</t>
  </si>
  <si>
    <t>点到平面与点到直线距离：掌握公式及向量几何推导。</t>
  </si>
  <si>
    <t>平行平面、平行直线与异面直线距离：会用投影或混合积公式。</t>
  </si>
  <si>
    <t>一阶偏导数定义与计算：固定其他变量，用一元导数定义求偏导。</t>
  </si>
  <si>
    <t>高阶偏导与混合偏导：会计算 $f_{xx},f_{xy},f_{yx},f_{yy}$。</t>
  </si>
  <si>
    <t>闭区域上的全局极值：会分别考察内部驻点、边界各段和角点。</t>
  </si>
  <si>
    <t>全微分定义：理解增量的线性主部和余项按距离高阶。</t>
  </si>
  <si>
    <t>可微、连续、偏导存在的逻辑关系：掌握可微⇒连续且偏导存在；偏导连续是可微的充分条件。</t>
  </si>
  <si>
    <t>可微性的定义检验：会减去线性主部后除以 $\rho$ 求极限。</t>
  </si>
  <si>
    <t>曲面切平面与法线：会对显式/隐式曲面用梯度作法向量。</t>
  </si>
  <si>
    <t>空间曲线切线与法平面：会用参数导向量或两个曲面梯度叉积。</t>
  </si>
  <si>
    <t>一阶链式法则：会画变量依赖图，处理一个或多个中间变量。</t>
  </si>
  <si>
    <t>二阶复合偏导：会在一阶链式结果上再次求导，包含二阶内层项和交叉项。</t>
  </si>
  <si>
    <t>全微分形式不变性：会用 $dz=f_u du+f_v dv$ 统一处理变量替换。</t>
  </si>
  <si>
    <t>二元函数二阶Taylor公式：会在点附近展开到二阶并识别二次型。</t>
  </si>
  <si>
    <t>多元函数概念、定义域与图形：会求二维/三维定义域并解释二元函数图形为曲面。</t>
  </si>
  <si>
    <t>二重极限定义：理解点以任意路径趋近；会用估计证明极限。</t>
  </si>
  <si>
    <t>路径法否定二重极限：会选择直线、抛物线或比例路径产生不同极限。</t>
  </si>
  <si>
    <t>极坐标估计二重极限：会令 $x=r\cos\theta,y=r\sin\theta$ 并找与角度无关的界。</t>
  </si>
  <si>
    <t>多元连续性与有界闭区域性质：会用极限等于函数值判断；知道紧区域上连续函数有界并取最值。</t>
  </si>
  <si>
    <t>最小二乘与二次型极值联系：理解平方和极小由正规方程/梯度为零得到，作为线代与高数接口。</t>
  </si>
  <si>
    <t>方向导数定义：会沿单位方向向量参数化并求极限。</t>
  </si>
  <si>
    <t>梯度及最大方向导数：掌握可微时 $D_\ell f=\nabla f\cdot\ell$；最大值为梯度模。</t>
  </si>
  <si>
    <t>驻点与必要条件：会求梯度为零的驻点，并检查不可偏导点。</t>
  </si>
  <si>
    <t>二元函数二阶充分条件：掌握判别式 $D=AC-B^2$。</t>
  </si>
  <si>
    <t>退化驻点与路径判断：当Hessian判别失效时，会找方向或因式分解判断。</t>
  </si>
  <si>
    <t>Lagrange乘数法：会列 $\nabla f=\lambda\nabla g$ 与约束并解候选。</t>
  </si>
  <si>
    <t>一个方程确定一个隐函数：掌握存在条件及一阶偏导公式。</t>
  </si>
  <si>
    <t>方程组确定隐函数组：会用线性方程组或Jacobian求隐函数偏导。</t>
  </si>
  <si>
    <t>齐次函数与Euler公式：会识别齐次性并用Euler公式化简偏导关系。</t>
  </si>
  <si>
    <t>二重积分一般换元与Jacobian：会在题目暗示下用 $u=u(x,y),v=v(x,y)$ 线性/非线性变换。</t>
  </si>
  <si>
    <t>三重积分定义与体积/质量意义：理解体积微元求和；常量1的积分为体积。</t>
  </si>
  <si>
    <t>线性、区域可加与保序性：会拆分区域、利用正负和对称估计。</t>
  </si>
  <si>
    <t>二重积分中值定理：理解连续函数在区域上的平均值。</t>
  </si>
  <si>
    <t>二重积分定义与几何/物理意义：理解面积微元上的Riemann和；常量1的积分为区域面积。</t>
  </si>
  <si>
    <t>参数区域与积分最值：会把参数视为边界位置，用区域单调性、求导或几何解释优化。</t>
  </si>
  <si>
    <t>质量、质心与转动惯量：会用密度加权积分统一建模。</t>
  </si>
  <si>
    <t>引力与场量积分：会写体密度元对指定点的引力分量积分。</t>
  </si>
  <si>
    <t>直角/柱/球坐标的选择：根据区域对称性与被积函数结构选最简坐标。</t>
  </si>
  <si>
    <t>反常重积分与一般测度论条件：知道无界区域/奇点重积分不属现行数学一常规核心。</t>
  </si>
  <si>
    <t>极坐标变换与Jacobian：掌握 $x=r\cos\theta,y=r\sin\theta,dA=rdrd\theta$。</t>
  </si>
  <si>
    <t>极坐标区域描述：会处理圆心不在原点、两圆交叠、由极坐标曲线围成区域。</t>
  </si>
  <si>
    <t>柱坐标变换：掌握 $x=r\cos\theta,y=r\sin\theta,z=z,dV=rdrd\theta dz$。</t>
  </si>
  <si>
    <t>球坐标变换：掌握坐标约定与体积元。</t>
  </si>
  <si>
    <t>投影法（先一后二）：会把立体写成 $(x,y)\in D,z_1(x,y)\le z\le z_2(x,y)$。</t>
  </si>
  <si>
    <t>截面法（先二后一）：会按某坐标切片，利用截面面积或二维积分。</t>
  </si>
  <si>
    <t>X型区域上的累次积分：会写 $a\le x\le b,\varphi_1(x)\le y\le\varphi_2(x)$。</t>
  </si>
  <si>
    <t>Y型区域上的累次积分：会写 $c\le y\le d,\psi_1(y)\le x\le\psi_2(y)$。</t>
  </si>
  <si>
    <t>改变二重积分次序：会从原积分读区域、作图、重分块、重写边界。</t>
  </si>
  <si>
    <t>利用对称性计算二重积分：会识别区域关于坐标轴、原点、直线 $y=x$ 对称。</t>
  </si>
  <si>
    <t>Gauss散度定理：会把闭曲面外向通量化为三重积分。</t>
  </si>
  <si>
    <t>开曲面补面闭合：会添加平面盖、球面片等形成闭曲面。</t>
  </si>
  <si>
    <t>奇点与挖球处理：会判断场在立体内是否光滑，必要时挖去小球。</t>
  </si>
  <si>
    <t>Green公式及正向约定：会把闭曲线积分化为二重积分，或反向转换。</t>
  </si>
  <si>
    <t>开曲线补线闭合：会增加计算简单的线段/坐标轴弧段，形成闭曲线再用Green。</t>
  </si>
  <si>
    <t>多连通区域与奇点处理：会判断区域内奇点并挖孔或分块。</t>
  </si>
  <si>
    <t>Stokes公式：会把空间闭曲线积分化为任意张成曲面的旋度通量。</t>
  </si>
  <si>
    <t>张成曲面的选择：在同一边界下选法向和投影最简单的曲面。</t>
  </si>
  <si>
    <t>Green/Gauss/Stokes选择决策：根据积分对象维数、是否闭合和方向选择公式。</t>
  </si>
  <si>
    <t>散度：会计算并理解局部源汇强度。</t>
  </si>
  <si>
    <t>旋度：会用行列式计算并理解局部旋转。</t>
  </si>
  <si>
    <t>梯度—散度—旋度恒等式边界：知道 $\nabla\times\nabla u=0$、$\nabla\cdot(\nabla\times F)=0$，但不扩展复杂向量分析。</t>
  </si>
  <si>
    <t>微分形式、de Rham理论与复积分：知道不属于数学一范围。</t>
  </si>
  <si>
    <t>两类曲线积分的关系：会用方向余弦把第二类写成第一类。</t>
  </si>
  <si>
    <t>两类曲面积分的关系：会用单位法向方向余弦转换。</t>
  </si>
  <si>
    <t>功与环流：会把力场沿路径做功写为第二类曲线积分。</t>
  </si>
  <si>
    <t>通量：会把流体穿过曲面的流量写为第二类曲面积分。</t>
  </si>
  <si>
    <t>第一类曲线积分概念与性质：理解对弧长的积分，与曲线方向无关。</t>
  </si>
  <si>
    <t>参数方程计算第一类曲线积分：会代入曲线参数并计算弧长因子。</t>
  </si>
  <si>
    <t>显式曲线计算第一类曲线积分：会对 $y=y(x)$ 或 $x=x(y)$ 使用弧长公式。</t>
  </si>
  <si>
    <t>第一类曲面积分概念与性质：理解对面积的积分，与曲面朝向无关。</t>
  </si>
  <si>
    <t>显式曲面投影计算：会把 $z=z(x,y)$ 的面积元化到xy投影。</t>
  </si>
  <si>
    <t>参数曲面面积元：会用叉积求 $dS=|r_u\times r_v|dudv$。</t>
  </si>
  <si>
    <t>第二类曲线积分概念与方向性：理解 $\int Pdx+Qdy+Rdz$ 为向量场沿切向的功。</t>
  </si>
  <si>
    <t>参数法直接计算：会把 $dx=x\prime dt$ 等代入并按方向定参数区间。</t>
  </si>
  <si>
    <t>第二类曲面积分概念与朝向：理解通量积分，曲面反向积分变号。</t>
  </si>
  <si>
    <t>投影法直接计算：会根据朝向选择有向投影面积元。</t>
  </si>
  <si>
    <t>路径无关的等价条件：掌握单连通区域中闭路积分为0、路径无关、存在势函数、$P_y=Q_x$ 的联系。</t>
  </si>
  <si>
    <t>势函数求法：会由 $u_x=P,u_y=Q$ 积分比较求 $u$。</t>
  </si>
  <si>
    <t>端点法计算保守场线积分：若势函数存在，直接用 $u(B)-u(A)$。</t>
  </si>
  <si>
    <t>周期函数Fourier系数：会按 $[-l,l]$ 或 $[-\pi,\pi]$ 公式计算 $a_0,a_n,b_n$。</t>
  </si>
  <si>
    <t>Dirichlet收敛定理与间断点取值：会判断Fourier级数在连续点和跳跃点的和值。</t>
  </si>
  <si>
    <t>正弦级数与余弦级数（半区间展开）：理解奇延拓产生正弦级数，偶延拓产生余弦级数。</t>
  </si>
  <si>
    <t>函数展开为Taylor级数的条件：理解Taylor级数等于函数当且仅当余项趋0。</t>
  </si>
  <si>
    <t>五个标准Maclaurin展开及收敛域：熟记 $e^x,\sin x,\cos x,\ln(1+x),(1+x)^\alpha$。</t>
  </si>
  <si>
    <t>间接展开法：通过代换、四则运算、求导积分从标准展开生成目标函数。</t>
  </si>
  <si>
    <t>绝对收敛与条件收敛：掌握绝对收敛⇒收敛；会分类。</t>
  </si>
  <si>
    <t>判敛方法决策树：能先识别正项/交错/一般项，再选比较、比值、根值、积分或拆分。</t>
  </si>
  <si>
    <t>Leibniz判别法与误差估计：会核验绝对值单调趋0，并估计余项。</t>
  </si>
  <si>
    <t>收敛点、收敛域与和函数：理解固定x后成为数项级数；会求收敛集合。</t>
  </si>
  <si>
    <t>由幂级数求和函数：会通过逐项微分/积分建立可识别函数或微分方程。</t>
  </si>
  <si>
    <t>由和函数求数项级数和：选择收敛域内特殊x代入，或用导数/积分组合。</t>
  </si>
  <si>
    <t>几何级数：熟记收敛条件与和。</t>
  </si>
  <si>
    <t>$p$ 级数：熟记 $\sum1/n^p$ 的阈值。</t>
  </si>
  <si>
    <t>一致收敛、Weierstrass判别与一般函数列：知道不是现行数学一要求；逐项运算只对幂级数按大纲结论使用。</t>
  </si>
  <si>
    <t>一般项级数的Dirichlet/Abel判别与凝聚判别：知道未在现行大纲明确列出。</t>
  </si>
  <si>
    <t>幂级数收敛结构与半径：理解中心内绝对收敛、外发散、端点另判。</t>
  </si>
  <si>
    <t>收敛半径计算：会用系数比值/根值或识别已知级数变换。</t>
  </si>
  <si>
    <t>端点敛散性：将端点代入原级数，分别用数项级数方法判断。</t>
  </si>
  <si>
    <t>逐项求导与逐项积分：掌握收敛半径不变，端点可能改变。</t>
  </si>
  <si>
    <t>幂级数的和、积及复合变换：会利用已知几何级数做代换、求导、积分、乘多项式。</t>
  </si>
  <si>
    <t>级数、部分和与收敛定义：会把级数收敛转化为部分和数列有极限。</t>
  </si>
  <si>
    <t>收敛级数的基本性质：掌握线性、去掉/增加有限项不改变敛散、分组的基本结论。</t>
  </si>
  <si>
    <t>必要条件 $u_n\to0$：先查通项极限，非零立即发散。</t>
  </si>
  <si>
    <t>正项级数部分和单调性：理解正项级数收敛等价于部分和有上界。</t>
  </si>
  <si>
    <t>比较判别法：会选择几何级数或p级数作为基准，注意比较方向。</t>
  </si>
  <si>
    <t>极限比较判别法：用通项比值极限判断同敛散。</t>
  </si>
  <si>
    <t>比值判别法：会算 $u_{n+1}/u_n$，特别适合阶乘、指数。</t>
  </si>
  <si>
    <t>根值判别法：会算 $\sqrt[n]{u_n}$，适合整体n次幂。</t>
  </si>
  <si>
    <t>积分判别法：会把单调正函数的级数与反常积分对应。</t>
  </si>
  <si>
    <t>Euler–Cauchy方程：会令 $x=e^t$ 或试 $y=x^m$ 化常系数。</t>
  </si>
  <si>
    <t>可分离变量方程：会把含y和x的因子分到两边并积分。</t>
  </si>
  <si>
    <t>齐次一阶方程：识别 $y\prime=F(y/x)$，令 $y=ux$。</t>
  </si>
  <si>
    <t>一阶线性方程与积分因子：掌握 $y\prime+P(x)y=Q(x)$ 的公式和推导。</t>
  </si>
  <si>
    <t>Bernoulli方程：识别 $y\prime+P y=Q y^n$，令 $z=y^{1-n}$ 化线性。</t>
  </si>
  <si>
    <t>全微分方程（恰当方程）：会检验 $M_y=N_x$ 并求势函数。</t>
  </si>
  <si>
    <t>一阶方程的适当变量代换：识别平移、线性组合 $u=ax+by+c$、倒数等代换化为已知类型。</t>
  </si>
  <si>
    <t>$y^{(n)}=f(x)$ 型：连续积分n次并保留n个常数。</t>
  </si>
  <si>
    <t>$y\prime\prime=f(x,y\prime)$ 型：令 $p=y\prime$ 降为一阶方程，再积分求y。</t>
  </si>
  <si>
    <t>$y\prime\prime=f(y,y\prime)$ 型：令 $p(y)=y\prime$，利用 $y\prime\prime=p\,dp/dy$。</t>
  </si>
  <si>
    <t>微分方程、阶、解、通解与特解：会识别阶数、验证函数是否为解、区分通解与特解。</t>
  </si>
  <si>
    <t>初值问题：会用初始条件确定任意常数并检查定义域。</t>
  </si>
  <si>
    <t>常微分方程组、Laplace变换与幂级数通法：知道不属于数学一高数常规要求。</t>
  </si>
  <si>
    <t>二阶常系数齐次方程—不同实根：会写特征方程并由根写通解。</t>
  </si>
  <si>
    <t>二阶常系数齐次方程—重根：会写 $(C_1+C_2x)e^{rx}$。</t>
  </si>
  <si>
    <t>二阶常系数齐次方程—共轭复根：会由 $\alpha\pm i\beta$ 写实通解。</t>
  </si>
  <si>
    <t>高阶常系数齐次方程：会按特征根及重数组合解。</t>
  </si>
  <si>
    <t>增长衰减、混合与几何建模：能从变化率语句建立一阶ODE并用初值定常数。</t>
  </si>
  <si>
    <t>线性齐次方程解的叠加与结构：理解线性组合仍是解，n阶基本解组张成通解。</t>
  </si>
  <si>
    <t>非齐次方程通解结构：掌握“齐次通解＋一个非齐次特解”。</t>
  </si>
  <si>
    <t>ODE与变上限积分/全微分结合：会先对积分关系求导得到ODE，或由混合偏导相等建立ODE。</t>
  </si>
  <si>
    <t>待定系数法—指数多项式型：会按右端 $e^{\lambda x}P_m(x)$ 设特解，并处理共振。</t>
  </si>
  <si>
    <t>待定系数法—三角型：会对 $e^{\alpha x}[P_m\cos\beta x+Q_n\sin\beta x]$ 设双三角特解。</t>
  </si>
  <si>
    <t>右端和的叠加处理：把右端分成若干标准型分别求特解再相加。</t>
  </si>
  <si>
    <t>来源、证据等级与范围边界</t>
  </si>
  <si>
    <t>工作表内保留可访问URL。官方、教材、详细文本镜像和真题二级归档按证据等级区分。</t>
  </si>
  <si>
    <t>范围类别</t>
  </si>
  <si>
    <t>内容</t>
  </si>
  <si>
    <t>处理原则</t>
  </si>
  <si>
    <t>官方明确要求</t>
  </si>
  <si>
    <t>本报告标记“官方明确”的212个原子点：以大纲8模块的考试内容与“了解/理解/会求/掌握”措辞为准。</t>
  </si>
  <si>
    <t>必须纳入复习；低频不等于可删除。</t>
  </si>
  <si>
    <t>真题隐含要求</t>
  </si>
  <si>
    <t>递推数列先证收敛、一般Jacobian换元、闭区域边界比较、辅助函数构造、补线/补面、反例库、参数积分求导的常见光滑情形等。</t>
  </si>
  <si>
    <t>大纲未逐项列名，但是真题完成所必需，按工具性或综合能力纳入。</t>
  </si>
  <si>
    <t>教材中有、通常不考</t>
  </si>
  <si>
    <t>一致连续的一般理论、Stolz定理、Cauchy凝聚、Beta/Gamma函数、一般函数项级数一致收敛理论、Laplace变换、偏微分方程、复变留数等。</t>
  </si>
  <si>
    <t>不作为统考数学一高数主线；仅在有余力或院校自命题时扩展。</t>
  </si>
  <si>
    <t>官方在列但低频</t>
  </si>
  <si>
    <t>曲率圆/曲率半径、若干物理应用、二次曲面细节、投影曲线、Euler方程、恰当方程、Fourier、Stokes/散度/旋度。</t>
  </si>
  <si>
    <t>至少会定义、标准算法和典型题；目标130+不得完全放弃。</t>
  </si>
  <si>
    <t>存在表述争议</t>
  </si>
  <si>
    <t>一般Jacobian公式、一般Leibniz参数积分法并未在大纲中单独列名；“凹/凸”中文术语在教材间方向可能相反。</t>
  </si>
  <si>
    <t>前两者按真题工具掌握；凹凸一律以f″符号与弦/切线位置表达，避免只背术语。</t>
  </si>
  <si>
    <t>大纲变化判断</t>
  </si>
  <si>
    <t>2020年版大纲出版后形成当前试卷结构；截至2026年7月可访问的官方/准官方材料未显示高数8模块发生实质删改。</t>
  </si>
  <si>
    <t>不把培训机构“完全不变”宣传当官方结论；用2026真题反向检验，仍覆盖既有核心范围。</t>
  </si>
  <si>
    <t>可核验来源</t>
  </si>
  <si>
    <t>证据层级</t>
  </si>
  <si>
    <t>来源名称</t>
  </si>
  <si>
    <t>URL</t>
  </si>
  <si>
    <t>用途</t>
  </si>
  <si>
    <t>限制</t>
  </si>
  <si>
    <t>官方/权威</t>
  </si>
  <si>
    <t>《2024年全国硕士研究生招生考试数学考试大纲》高教社产品页</t>
  </si>
  <si>
    <t>https://xuanshu.hep.com.cn/front/h5Mobile/bookDetails?bookId=64f36b9e74ce561611bd95a9</t>
  </si>
  <si>
    <t>核验作者为教育部教育考试院、出版信息、目录结构及附录真题。</t>
  </si>
  <si>
    <t>产品页不公开完整正文。</t>
  </si>
  <si>
    <t>《全国硕士研究生招生考试数学考试大纲》（2020年版）高教社产品页</t>
  </si>
  <si>
    <t>https://xuanshu.hep.com.cn/front/book/findBookDetails?bookId=5f0752d5b0b2bda7c523ccdf</t>
  </si>
  <si>
    <t>核验2020年版出版信息和大纲基本结构。</t>
  </si>
  <si>
    <t>官方</t>
  </si>
  <si>
    <t>中国教育考试网：2022年全国硕士研究生招生考试数学考试大纲</t>
  </si>
  <si>
    <t>https://yankao.neea.edu.cn/xhtml1/report/21115/5103-1.htm</t>
  </si>
  <si>
    <t>核验教育部教育考试院确有官方大纲发布栏目。</t>
  </si>
  <si>
    <t>页面正文以图片呈现，可检索文本有限。</t>
  </si>
  <si>
    <t>教育部：2026年全国硕士研究生招生工作管理规定</t>
  </si>
  <si>
    <t>https://www.moe.gov.cn/srcsite/A15/moe_778/s3261/202509/t20250918_1413836.html</t>
  </si>
  <si>
    <t>核验数学（一）属于全国统一命题科目。</t>
  </si>
  <si>
    <t>不含数学一详细考试内容。</t>
  </si>
  <si>
    <t>详细文本镜像</t>
  </si>
  <si>
    <t>2025考研数学一考试大纲全文镜像（17页PDF）</t>
  </si>
  <si>
    <t>https://m.juyingonline.com/upload/202409/11/202409111455369795.pdf</t>
  </si>
  <si>
    <t>逐条提取高数8模块、考试要求和试卷结构。</t>
  </si>
  <si>
    <t>非教育考试院域名；与官方目录及历年版交叉核验后使用。</t>
  </si>
  <si>
    <t>教材权威</t>
  </si>
  <si>
    <t>同济大学《高等数学》第八版上册（高教社）</t>
  </si>
  <si>
    <t>https://xuanshu.hep.com.cn/front/h5Mobile/bookDetails?bookId=62cdab46938b7cc2960eedb1</t>
  </si>
  <si>
    <t>核验函数极限、微分、积分、ODE的教材边界和术语。</t>
  </si>
  <si>
    <t>教材内容广于考试大纲，不能直接等同考点。</t>
  </si>
  <si>
    <t>同济大学《高等数学》第八版下册（高教社）</t>
  </si>
  <si>
    <t>https://xuanshu.hep.com.cn/front/h5Mobile/bookDetails?bookId=62bc8b97938b7cc2960eebb7</t>
  </si>
  <si>
    <t>核验空间几何、多元微分、重积分、线面积分、级数的教材体系。</t>
  </si>
  <si>
    <t>教材带星号/拓展内容不自动纳入统考。</t>
  </si>
  <si>
    <t>真题二级归档</t>
  </si>
  <si>
    <t>考研数学一真题库（1987—2025，GitHub）</t>
  </si>
  <si>
    <t>https://github.com/TsekaLuk/Kaoyan-Math1-Papers</t>
  </si>
  <si>
    <t>跨年检索题面、追溯经典题与建立年份标签。</t>
  </si>
  <si>
    <t>网络整理、非官方，项目自身也声明仅供学习交流。</t>
  </si>
  <si>
    <t>中国教育在线历年数学真题索引</t>
  </si>
  <si>
    <t>https://kaoyan.eol.cn/shiti/shuxue/</t>
  </si>
  <si>
    <t>交叉核验2021—2024等年度真题索引。</t>
  </si>
  <si>
    <t>解析来自多家机构，答案细节需交叉核验。</t>
  </si>
  <si>
    <t>真题样本</t>
  </si>
  <si>
    <t>2026年数学一试题及解析PDF（17页）</t>
  </si>
  <si>
    <t>https://aged-jixun-cdn.iqihang.com/2025/1221/20251221110550262.pdf</t>
  </si>
  <si>
    <t>更新主样本至2010—2026并验证当前命题范围。</t>
  </si>
  <si>
    <t>非官方发布；题面按多源版本交叉核验，统计只作近似。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</si>
</sst>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2">
    <font>
      <sz val="11"/>
      <name val="Carlito"/>
    </font>
    <font>
      <b/>
      <sz val="18"/>
      <color rgb="FFFFFFFF"/>
      <name val="Carlito"/>
    </font>
    <font>
      <i/>
      <sz val="10"/>
      <color rgb="FF163A5F"/>
      <name val="Carlito"/>
    </font>
    <font>
      <b/>
      <sz val="10"/>
      <color rgb="FFFFFFFF"/>
      <name val="Carlito"/>
    </font>
    <font>
      <b/>
      <sz val="11"/>
      <color rgb="FF163A5F"/>
      <name val="Carlito"/>
    </font>
    <font>
      <b/>
      <sz val="14"/>
      <color rgb="FF0F766E"/>
      <name val="Carlito"/>
    </font>
    <font>
      <sz val="10"/>
      <name val="Carlito"/>
    </font>
    <font>
      <sz val="9"/>
      <name val="Carlito"/>
    </font>
    <font>
      <b/>
      <sz val="12"/>
      <color rgb="FF163A5F"/>
      <name val="Carlito"/>
    </font>
    <font>
      <sz val="10"/>
      <color rgb="FF7A4E00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AF1F8"/>
      </patternFill>
    </fill>
    <fill>
      <patternFill patternType="solid">
        <fgColor rgb="FF245A82"/>
      </patternFill>
    </fill>
    <fill>
      <patternFill patternType="solid">
        <fgColor rgb="FFF7FAFC"/>
      </patternFill>
    </fill>
    <fill>
      <patternFill patternType="solid">
        <fgColor rgb="FFDCEAF5"/>
      </patternFill>
    </fill>
    <fill>
      <patternFill patternType="solid">
        <fgColor rgb="FFFFF7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4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left"/>
    </xf>
    <xf numFmtId="0" fontId="5" fillId="5" borderId="0" xfId="1" applyFont="1" applyFill="1" applyAlignment="1">
      <alignment horizontal="center"/>
    </xf>
    <xf numFmtId="176" fontId="5" fillId="5" borderId="0" xfId="1" applyNumberFormat="1" applyFont="1" applyFill="1" applyAlignment="1">
      <alignment horizontal="center"/>
    </xf>
    <xf numFmtId="0" fontId="7" fillId="0" borderId="0" xfId="1" applyFont="1" applyAlignment="1">
      <alignment vertical="top" wrapText="1"/>
    </xf>
    <xf numFmtId="177" fontId="7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vertical="top" wrapText="1"/>
    </xf>
    <xf numFmtId="0" fontId="8" fillId="6" borderId="0" xfId="1" applyFont="1" applyFill="1" applyAlignment="1">
      <alignment horizontal="left" vertical="center"/>
    </xf>
    <xf numFmtId="0" fontId="8" fillId="6" borderId="0" xfId="1" applyFont="1" applyFill="1" applyAlignment="1">
      <alignment horizontal="left" vertical="center" wrapText="1"/>
    </xf>
    <xf numFmtId="0" fontId="9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1">
    <dxf>
      <font>
        <b/>
      </font>
      <fill>
        <patternFill patternType="solid">
          <bgColor rgb="FFFFE4B5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FFE4B5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7C2D12"/>
      </font>
      <fill>
        <patternFill patternType="solid">
          <bgColor rgb="FFFFE4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重要度分布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知识点数</c:v>
          </c:tx>
          <c:invertIfNegative val="1"/>
          <c:cat>
            <c:strRef>
              <c:f>使用说明!$A$13:$A$17</c:f>
              <c:strCache>
                <c:ptCount val="5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使用说明!$B$13:$B$17</c:f>
              <c:numCache>
                <c:formatCode>General</c:formatCode>
                <c:ptCount val="5"/>
                <c:pt idx="0">
                  <c:v>118</c:v>
                </c:pt>
                <c:pt idx="1">
                  <c:v>78</c:v>
                </c:pt>
                <c:pt idx="2">
                  <c:v>34</c:v>
                </c:pt>
                <c:pt idx="3">
                  <c:v>20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4-4CAA-8501-8EA24D18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各章原子知识点数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知识点数</c:v>
          </c:tx>
          <c:invertIfNegative val="1"/>
          <c:cat>
            <c:strRef>
              <c:f>使用说明!$D$13:$D$22</c:f>
              <c:strCache>
                <c:ptCount val="10"/>
                <c:pt idx="0">
                  <c:v>第一章 函数基础</c:v>
                </c:pt>
                <c:pt idx="1">
                  <c:v>第二章 极限与连续</c:v>
                </c:pt>
                <c:pt idx="2">
                  <c:v>第三章 一元函数微分学</c:v>
                </c:pt>
                <c:pt idx="3">
                  <c:v>第四章 一元函数积分学</c:v>
                </c:pt>
                <c:pt idx="4">
                  <c:v>第五章 向量代数与空间解析几何</c:v>
                </c:pt>
                <c:pt idx="5">
                  <c:v>第六章 多元函数微分学</c:v>
                </c:pt>
                <c:pt idx="6">
                  <c:v>第七章 重积分</c:v>
                </c:pt>
                <c:pt idx="7">
                  <c:v>第八章 曲线积分、曲面积分与向量场</c:v>
                </c:pt>
                <c:pt idx="8">
                  <c:v>第九章 无穷级数</c:v>
                </c:pt>
                <c:pt idx="9">
                  <c:v>第十章 常微分方程</c:v>
                </c:pt>
              </c:strCache>
            </c:strRef>
          </c:cat>
          <c:val>
            <c:numRef>
              <c:f>使用说明!$E$13:$E$22</c:f>
              <c:numCache>
                <c:formatCode>General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33</c:v>
                </c:pt>
                <c:pt idx="3">
                  <c:v>34</c:v>
                </c:pt>
                <c:pt idx="4">
                  <c:v>19</c:v>
                </c:pt>
                <c:pt idx="5">
                  <c:v>27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1-4700-AC46-995A20B8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nowledgeTable" displayName="KnowledgeTable" ref="A3:W265">
  <tableColumns count="23">
    <tableColumn id="1" xr3:uid="{00000000-0010-0000-0000-000001000000}" name="编号"/>
    <tableColumn id="2" xr3:uid="{00000000-0010-0000-0000-000002000000}" name="教学章"/>
    <tableColumn id="3" xr3:uid="{00000000-0010-0000-0000-000003000000}" name="官方模块"/>
    <tableColumn id="4" xr3:uid="{00000000-0010-0000-0000-000004000000}" name="专题"/>
    <tableColumn id="5" xr3:uid="{00000000-0010-0000-0000-000005000000}" name="知识点"/>
    <tableColumn id="6" xr3:uid="{00000000-0010-0000-0000-000006000000}" name="子知识点/必会动作"/>
    <tableColumn id="7" xr3:uid="{00000000-0010-0000-0000-000007000000}" name="层级"/>
    <tableColumn id="8" xr3:uid="{00000000-0010-0000-0000-000008000000}" name="口径"/>
    <tableColumn id="9" xr3:uid="{00000000-0010-0000-0000-000009000000}" name="大纲要求"/>
    <tableColumn id="10" xr3:uid="{00000000-0010-0000-0000-00000A000000}" name="定义/公式/结论"/>
    <tableColumn id="11" xr3:uid="{00000000-0010-0000-0000-00000B000000}" name="适用条件"/>
    <tableColumn id="12" xr3:uid="{00000000-0010-0000-0000-00000C000000}" name="常见直接题型"/>
    <tableColumn id="13" xr3:uid="{00000000-0010-0000-0000-00000D000000}" name="综合方向"/>
    <tableColumn id="14" xr3:uid="{00000000-0010-0000-0000-00000E000000}" name="识别信号"/>
    <tableColumn id="15" xr3:uid="{00000000-0010-0000-0000-00000F000000}" name="易错点"/>
    <tableColumn id="16" xr3:uid="{00000000-0010-0000-0000-000010000000}" name="前置知识"/>
    <tableColumn id="17" xr3:uid="{00000000-0010-0000-0000-000011000000}" name="典型真题年份"/>
    <tableColumn id="18" xr3:uid="{00000000-0010-0000-0000-000012000000}" name="历年频率"/>
    <tableColumn id="19" xr3:uid="{00000000-0010-0000-0000-000013000000}" name="重要度"/>
    <tableColumn id="20" xr3:uid="{00000000-0010-0000-0000-000014000000}" name="趋势"/>
    <tableColumn id="21" xr3:uid="{00000000-0010-0000-0000-000015000000}" name="推荐掌握程度"/>
    <tableColumn id="22" xr3:uid="{00000000-0010-0000-0000-000016000000}" name="学习状态"/>
    <tableColumn id="23" xr3:uid="{00000000-0010-0000-0000-000017000000}" name="个人笔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hodTable" displayName="MethodTable" ref="A3:O54">
  <tableColumns count="15">
    <tableColumn id="1" xr3:uid="{00000000-0010-0000-0100-000001000000}" name="编号"/>
    <tableColumn id="2" xr3:uid="{00000000-0010-0000-0100-000002000000}" name="题型名称"/>
    <tableColumn id="3" xr3:uid="{00000000-0010-0000-0100-000003000000}" name="典型特征"/>
    <tableColumn id="4" xr3:uid="{00000000-0010-0000-0100-000004000000}" name="识别信号"/>
    <tableColumn id="5" xr3:uid="{00000000-0010-0000-0100-000005000000}" name="标准流程"/>
    <tableColumn id="6" xr3:uid="{00000000-0010-0000-0100-000006000000}" name="可替代方法"/>
    <tableColumn id="7" xr3:uid="{00000000-0010-0000-0100-000007000000}" name="方法选择条件"/>
    <tableColumn id="8" xr3:uid="{00000000-0010-0000-0100-000008000000}" name="易失败方法"/>
    <tableColumn id="9" xr3:uid="{00000000-0010-0000-0100-000009000000}" name="常见变式"/>
    <tableColumn id="10" xr3:uid="{00000000-0010-0000-0100-00000A000000}" name="组合章节"/>
    <tableColumn id="11" xr3:uid="{00000000-0010-0000-0100-00000B000000}" name="典型年份"/>
    <tableColumn id="12" xr3:uid="{00000000-0010-0000-0100-00000C000000}" name="难度"/>
    <tableColumn id="13" xr3:uid="{00000000-0010-0000-0100-00000D000000}" name="建议训练量"/>
    <tableColumn id="14" xr3:uid="{00000000-0010-0000-0100-00000E000000}" name="掌握状态"/>
    <tableColumn id="15" xr3:uid="{00000000-0010-0000-0100-00000F000000}" name="个人笔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equencyTable" displayName="FrequencyTable" ref="A3:I30">
  <tableColumns count="9">
    <tableColumn id="1" xr3:uid="{00000000-0010-0000-0200-000001000000}" name="模块"/>
    <tableColumn id="2" xr3:uid="{00000000-0010-0000-0200-000002000000}" name="专题"/>
    <tableColumn id="3" xr3:uid="{00000000-0010-0000-0200-000003000000}" name="直接考查估计"/>
    <tableColumn id="4" xr3:uid="{00000000-0010-0000-0200-000004000000}" name="工具性出现"/>
    <tableColumn id="5" xr3:uid="{00000000-0010-0000-0200-000005000000}" name="常见分值"/>
    <tableColumn id="6" xr3:uid="{00000000-0010-0000-0200-000006000000}" name="频率"/>
    <tableColumn id="7" xr3:uid="{00000000-0010-0000-0200-000007000000}" name="重要度"/>
    <tableColumn id="8" xr3:uid="{00000000-0010-0000-0200-000008000000}" name="趋势"/>
    <tableColumn id="9" xr3:uid="{00000000-0010-0000-0200-000009000000}" name="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earTagTable" displayName="YearTagTable" ref="A3:C20">
  <tableColumns count="3">
    <tableColumn id="1" xr3:uid="{00000000-0010-0000-0300-000001000000}" name="年份"/>
    <tableColumn id="2" xr3:uid="{00000000-0010-0000-0300-000002000000}" name="高数主标签"/>
    <tableColumn id="3" xr3:uid="{00000000-0010-0000-0300-000003000000}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usionTable" displayName="ConfusionTable" ref="A3:F24">
  <tableColumns count="6">
    <tableColumn id="1" xr3:uid="{00000000-0010-0000-0400-000001000000}" name="对比组"/>
    <tableColumn id="2" xr3:uid="{00000000-0010-0000-0400-000002000000}" name="定义差异"/>
    <tableColumn id="3" xr3:uid="{00000000-0010-0000-0400-000003000000}" name="逻辑关系"/>
    <tableColumn id="4" xr3:uid="{00000000-0010-0000-0400-000004000000}" name="反例"/>
    <tableColumn id="5" xr3:uid="{00000000-0010-0000-0400-000005000000}" name="判断方法"/>
    <tableColumn id="6" xr3:uid="{00000000-0010-0000-0400-000006000000}" name="真题陷阱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ewPhaseTable" displayName="ReviewPhaseTable" ref="A3:E8">
  <tableColumns count="5">
    <tableColumn id="1" xr3:uid="{00000000-0010-0000-0500-000001000000}" name="阶段"/>
    <tableColumn id="2" xr3:uid="{00000000-0010-0000-0500-000002000000}" name="核心任务"/>
    <tableColumn id="3" xr3:uid="{00000000-0010-0000-0500-000003000000}" name="熟练度目标"/>
    <tableColumn id="4" xr3:uid="{00000000-0010-0000-0500-000004000000}" name="过关判据"/>
    <tableColumn id="5" xr3:uid="{00000000-0010-0000-0500-000005000000}" name="建议占总复习时间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ecklistTable" displayName="ChecklistTable" ref="A3:K265">
  <tableColumns count="11">
    <tableColumn id="1" xr3:uid="{00000000-0010-0000-0600-000001000000}" name="编号"/>
    <tableColumn id="2" xr3:uid="{00000000-0010-0000-0600-000002000000}" name="教学章"/>
    <tableColumn id="3" xr3:uid="{00000000-0010-0000-0600-000003000000}" name="知识点与必会动作"/>
    <tableColumn id="4" xr3:uid="{00000000-0010-0000-0600-000004000000}" name="学习状态"/>
    <tableColumn id="5" xr3:uid="{00000000-0010-0000-0600-000005000000}" name="重要度"/>
    <tableColumn id="6" xr3:uid="{00000000-0010-0000-0600-000006000000}" name="层级"/>
    <tableColumn id="7" xr3:uid="{00000000-0010-0000-0600-000007000000}" name="口径"/>
    <tableColumn id="8" xr3:uid="{00000000-0010-0000-0600-000008000000}" name="典型真题年份"/>
    <tableColumn id="9" xr3:uid="{00000000-0010-0000-0600-000009000000}" name="复盘次数"/>
    <tableColumn id="10" xr3:uid="{00000000-0010-0000-0600-00000A000000}" name="最后复习日期"/>
    <tableColumn id="11" xr3:uid="{00000000-0010-0000-0600-00000B000000}" name="个人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oundaryTable" displayName="BoundaryTable" ref="A3:C9">
  <tableColumns count="3">
    <tableColumn id="1" xr3:uid="{00000000-0010-0000-0700-000001000000}" name="范围类别"/>
    <tableColumn id="2" xr3:uid="{00000000-0010-0000-0700-000002000000}" name="内容"/>
    <tableColumn id="3" xr3:uid="{00000000-0010-0000-0700-000003000000}" name="处理原则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Table" displayName="SourceTable" ref="A13:E23">
  <tableColumns count="5">
    <tableColumn id="1" xr3:uid="{00000000-0010-0000-0800-000001000000}" name="证据层级"/>
    <tableColumn id="2" xr3:uid="{00000000-0010-0000-0800-000002000000}" name="来源名称"/>
    <tableColumn id="3" xr3:uid="{00000000-0010-0000-0800-000003000000}" name="URL"/>
    <tableColumn id="4" xr3:uid="{00000000-0010-0000-0800-000004000000}" name="用途"/>
    <tableColumn id="5" xr3:uid="{00000000-0010-0000-0800-000005000000}" name="限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6" workbookViewId="0">
      <selection activeCell="A21" sqref="A21:F26"/>
    </sheetView>
  </sheetViews>
  <sheetFormatPr defaultRowHeight="13.5"/>
  <cols>
    <col min="1" max="1" width="20" customWidth="1"/>
    <col min="2" max="2" width="14" customWidth="1"/>
    <col min="3" max="3" width="3" customWidth="1"/>
    <col min="4" max="4" width="25" customWidth="1"/>
    <col min="5" max="5" width="14" customWidth="1"/>
    <col min="6" max="6" width="12" customWidth="1"/>
  </cols>
  <sheetData>
    <row r="1" spans="1:14" ht="42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.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20.25" customHeight="1">
      <c r="A4" s="1" t="s">
        <v>2</v>
      </c>
      <c r="B4" s="1" t="s">
        <v>3</v>
      </c>
      <c r="D4" s="9" t="s">
        <v>4</v>
      </c>
      <c r="E4" s="9"/>
      <c r="F4" s="9"/>
    </row>
    <row r="5" spans="1:14" ht="17.649999999999999">
      <c r="A5" s="2" t="s">
        <v>5</v>
      </c>
      <c r="B5" s="3">
        <f>COUNTA(查漏清单!$A$4:$A$265)</f>
        <v>262</v>
      </c>
      <c r="D5" s="10" t="s">
        <v>6</v>
      </c>
      <c r="E5" s="10"/>
      <c r="F5" s="10"/>
    </row>
    <row r="6" spans="1:14" ht="17.649999999999999">
      <c r="A6" s="2" t="s">
        <v>7</v>
      </c>
      <c r="B6" s="3">
        <f>COUNTIF(知识点总表!$S$4:$S$265,"S")+COUNTIF(知识点总表!$S$4:$S$265,"A")</f>
        <v>196</v>
      </c>
      <c r="D6" s="10"/>
      <c r="E6" s="10"/>
      <c r="F6" s="10"/>
    </row>
    <row r="7" spans="1:14" ht="17.649999999999999">
      <c r="A7" s="2" t="s">
        <v>8</v>
      </c>
      <c r="B7" s="3">
        <f>COUNTIF(查漏清单!$D$4:$D$265,"已掌握")</f>
        <v>0</v>
      </c>
      <c r="D7" s="10"/>
      <c r="E7" s="10"/>
      <c r="F7" s="10"/>
    </row>
    <row r="8" spans="1:14" ht="17.649999999999999">
      <c r="A8" s="2" t="s">
        <v>9</v>
      </c>
      <c r="B8" s="3">
        <f>COUNTIF(查漏清单!$D$4:$D$265,"需复盘")</f>
        <v>0</v>
      </c>
      <c r="D8" s="10"/>
      <c r="E8" s="10"/>
      <c r="F8" s="10"/>
    </row>
    <row r="9" spans="1:14" ht="17.649999999999999">
      <c r="A9" s="2" t="s">
        <v>10</v>
      </c>
      <c r="B9" s="4">
        <f>IFERROR(B7/B5,0)</f>
        <v>0</v>
      </c>
      <c r="D9" s="10"/>
      <c r="E9" s="10"/>
      <c r="F9" s="10"/>
    </row>
    <row r="10" spans="1:14">
      <c r="D10" s="10"/>
      <c r="E10" s="10"/>
      <c r="F10" s="10"/>
    </row>
    <row r="12" spans="1:14">
      <c r="A12" s="1" t="s">
        <v>11</v>
      </c>
      <c r="B12" s="1" t="s">
        <v>12</v>
      </c>
      <c r="D12" s="1" t="s">
        <v>13</v>
      </c>
      <c r="E12" s="1" t="s">
        <v>12</v>
      </c>
    </row>
    <row r="13" spans="1:14">
      <c r="A13" s="5" t="s">
        <v>14</v>
      </c>
      <c r="B13" s="5">
        <f>COUNTIF(知识点总表!$S$4:$S$265,A13)</f>
        <v>118</v>
      </c>
      <c r="D13" s="5" t="s">
        <v>15</v>
      </c>
      <c r="E13" s="5">
        <f>COUNTIF(知识点总表!$B$4:$B$265,D13)</f>
        <v>15</v>
      </c>
    </row>
    <row r="14" spans="1:14">
      <c r="A14" s="5" t="s">
        <v>16</v>
      </c>
      <c r="B14" s="5">
        <f>COUNTIF(知识点总表!$S$4:$S$265,A14)</f>
        <v>78</v>
      </c>
      <c r="D14" s="5" t="s">
        <v>17</v>
      </c>
      <c r="E14" s="5">
        <f>COUNTIF(知识点总表!$B$4:$B$265,D14)</f>
        <v>30</v>
      </c>
    </row>
    <row r="15" spans="1:14">
      <c r="A15" s="5" t="s">
        <v>18</v>
      </c>
      <c r="B15" s="5">
        <f>COUNTIF(知识点总表!$S$4:$S$265,A15)</f>
        <v>34</v>
      </c>
      <c r="D15" s="5" t="s">
        <v>19</v>
      </c>
      <c r="E15" s="5">
        <f>COUNTIF(知识点总表!$B$4:$B$265,D15)</f>
        <v>33</v>
      </c>
    </row>
    <row r="16" spans="1:14">
      <c r="A16" s="5" t="s">
        <v>20</v>
      </c>
      <c r="B16" s="5">
        <f>COUNTIF(知识点总表!$S$4:$S$265,A16)</f>
        <v>20</v>
      </c>
      <c r="D16" s="5" t="s">
        <v>21</v>
      </c>
      <c r="E16" s="5">
        <f>COUNTIF(知识点总表!$B$4:$B$265,D16)</f>
        <v>34</v>
      </c>
    </row>
    <row r="17" spans="1:6">
      <c r="A17" s="5" t="s">
        <v>22</v>
      </c>
      <c r="B17" s="5">
        <f>COUNTIF(知识点总表!$S$4:$S$265,A17)</f>
        <v>12</v>
      </c>
      <c r="D17" s="5" t="s">
        <v>23</v>
      </c>
      <c r="E17" s="5">
        <f>COUNTIF(知识点总表!$B$4:$B$265,D17)</f>
        <v>19</v>
      </c>
    </row>
    <row r="18" spans="1:6">
      <c r="D18" s="5" t="s">
        <v>24</v>
      </c>
      <c r="E18" s="5">
        <f>COUNTIF(知识点总表!$B$4:$B$265,D18)</f>
        <v>27</v>
      </c>
    </row>
    <row r="19" spans="1:6">
      <c r="D19" s="5" t="s">
        <v>25</v>
      </c>
      <c r="E19" s="5">
        <f>COUNTIF(知识点总表!$B$4:$B$265,D19)</f>
        <v>20</v>
      </c>
    </row>
    <row r="20" spans="1:6" ht="15">
      <c r="A20" s="11" t="s">
        <v>26</v>
      </c>
      <c r="B20" s="11"/>
      <c r="C20" s="11"/>
      <c r="D20" s="12" t="s">
        <v>27</v>
      </c>
      <c r="E20" s="12">
        <f>COUNTIF(知识点总表!$B$4:$B$265,D20)</f>
        <v>30</v>
      </c>
      <c r="F20" s="11"/>
    </row>
    <row r="21" spans="1:6">
      <c r="A21" s="13" t="s">
        <v>28</v>
      </c>
      <c r="B21" s="13"/>
      <c r="C21" s="13"/>
      <c r="D21" s="13" t="s">
        <v>29</v>
      </c>
      <c r="E21" s="13">
        <f>COUNTIF(知识点总表!$B$4:$B$265,D21)</f>
        <v>30</v>
      </c>
      <c r="F21" s="13"/>
    </row>
    <row r="22" spans="1:6">
      <c r="A22" s="13"/>
      <c r="B22" s="13"/>
      <c r="C22" s="13"/>
      <c r="D22" s="13" t="s">
        <v>30</v>
      </c>
      <c r="E22" s="13">
        <f>COUNTIF(知识点总表!$B$4:$B$265,D22)</f>
        <v>24</v>
      </c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  <row r="25" spans="1:6">
      <c r="A25" s="13"/>
      <c r="B25" s="13"/>
      <c r="C25" s="13"/>
      <c r="D25" s="13"/>
      <c r="E25" s="13"/>
      <c r="F25" s="13"/>
    </row>
    <row r="26" spans="1:6">
      <c r="A26" s="13"/>
      <c r="B26" s="13"/>
      <c r="C26" s="13"/>
      <c r="D26" s="13"/>
      <c r="E26" s="13"/>
      <c r="F26" s="13"/>
    </row>
  </sheetData>
  <mergeCells count="6">
    <mergeCell ref="A21:F26"/>
    <mergeCell ref="A1:N1"/>
    <mergeCell ref="A2:N2"/>
    <mergeCell ref="D4:F4"/>
    <mergeCell ref="D5:F10"/>
    <mergeCell ref="A20:F20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5"/>
  <sheetViews>
    <sheetView workbookViewId="0"/>
  </sheetViews>
  <sheetFormatPr defaultRowHeight="13.5"/>
  <cols>
    <col min="1" max="1" width="10" customWidth="1"/>
    <col min="2" max="2" width="22" customWidth="1"/>
    <col min="3" max="3" width="24" customWidth="1"/>
    <col min="4" max="4" width="22" customWidth="1"/>
    <col min="5" max="5" width="24" customWidth="1"/>
    <col min="6" max="6" width="42" customWidth="1"/>
    <col min="7" max="7" width="9" customWidth="1"/>
    <col min="8" max="8" width="18" customWidth="1"/>
    <col min="9" max="9" width="13" customWidth="1"/>
    <col min="10" max="10" width="46" customWidth="1"/>
    <col min="11" max="11" width="42" customWidth="1"/>
    <col min="12" max="12" width="30" customWidth="1"/>
    <col min="13" max="13" width="34" customWidth="1"/>
    <col min="14" max="14" width="28" customWidth="1"/>
    <col min="15" max="15" width="42" customWidth="1"/>
    <col min="16" max="16" width="22" customWidth="1"/>
    <col min="17" max="17" width="20" customWidth="1"/>
    <col min="18" max="18" width="23" customWidth="1"/>
    <col min="19" max="19" width="10" customWidth="1"/>
    <col min="20" max="20" width="15" customWidth="1"/>
    <col min="21" max="21" width="48" customWidth="1"/>
    <col min="22" max="22" width="12" customWidth="1"/>
    <col min="23" max="23" width="34" customWidth="1"/>
  </cols>
  <sheetData>
    <row r="1" spans="1:23" ht="15" customHeight="1">
      <c r="A1" s="7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1.55" customHeight="1">
      <c r="A2" s="8" t="s">
        <v>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8" customHeight="1">
      <c r="A3" s="1" t="s">
        <v>33</v>
      </c>
      <c r="B3" s="1" t="s">
        <v>13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11</v>
      </c>
      <c r="T3" s="1" t="s">
        <v>50</v>
      </c>
      <c r="U3" s="1" t="s">
        <v>51</v>
      </c>
      <c r="V3" s="1" t="s">
        <v>52</v>
      </c>
      <c r="W3" s="1" t="s">
        <v>53</v>
      </c>
    </row>
    <row r="4" spans="1:23" ht="21" customHeight="1">
      <c r="A4" s="5" t="s">
        <v>54</v>
      </c>
      <c r="B4" s="5" t="s">
        <v>15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16</v>
      </c>
      <c r="H4" s="5" t="s">
        <v>59</v>
      </c>
      <c r="I4" s="5" t="s">
        <v>60</v>
      </c>
      <c r="J4" s="5" t="s">
        <v>61</v>
      </c>
      <c r="K4" s="5" t="s">
        <v>62</v>
      </c>
      <c r="L4" s="5" t="s">
        <v>63</v>
      </c>
      <c r="M4" s="5" t="s">
        <v>64</v>
      </c>
      <c r="N4" s="5" t="s">
        <v>65</v>
      </c>
      <c r="O4" s="5" t="s">
        <v>66</v>
      </c>
      <c r="P4" s="5" t="s">
        <v>67</v>
      </c>
      <c r="Q4" s="5" t="s">
        <v>68</v>
      </c>
      <c r="R4" s="5" t="s">
        <v>69</v>
      </c>
      <c r="S4" s="5" t="s">
        <v>18</v>
      </c>
      <c r="T4" s="5" t="s">
        <v>70</v>
      </c>
      <c r="U4" s="5" t="s">
        <v>71</v>
      </c>
      <c r="V4" s="5" t="s">
        <v>72</v>
      </c>
      <c r="W4" s="5"/>
    </row>
    <row r="5" spans="1:23" ht="21" customHeight="1">
      <c r="A5" s="5" t="s">
        <v>73</v>
      </c>
      <c r="B5" s="5" t="s">
        <v>15</v>
      </c>
      <c r="C5" s="5" t="s">
        <v>55</v>
      </c>
      <c r="D5" s="5" t="s">
        <v>74</v>
      </c>
      <c r="E5" s="5" t="s">
        <v>75</v>
      </c>
      <c r="F5" s="5" t="s">
        <v>76</v>
      </c>
      <c r="G5" s="5" t="s">
        <v>16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81</v>
      </c>
      <c r="M5" s="5" t="s">
        <v>82</v>
      </c>
      <c r="N5" s="5" t="s">
        <v>83</v>
      </c>
      <c r="O5" s="5" t="s">
        <v>84</v>
      </c>
      <c r="P5" s="5" t="s">
        <v>85</v>
      </c>
      <c r="Q5" s="5" t="s">
        <v>86</v>
      </c>
      <c r="R5" s="5" t="s">
        <v>87</v>
      </c>
      <c r="S5" s="5" t="s">
        <v>14</v>
      </c>
      <c r="T5" s="5" t="s">
        <v>70</v>
      </c>
      <c r="U5" s="5" t="s">
        <v>88</v>
      </c>
      <c r="V5" s="5" t="s">
        <v>72</v>
      </c>
      <c r="W5" s="5"/>
    </row>
    <row r="6" spans="1:23" ht="21" customHeight="1">
      <c r="A6" s="5" t="s">
        <v>89</v>
      </c>
      <c r="B6" s="5" t="s">
        <v>15</v>
      </c>
      <c r="C6" s="5" t="s">
        <v>55</v>
      </c>
      <c r="D6" s="5" t="s">
        <v>74</v>
      </c>
      <c r="E6" s="5" t="s">
        <v>90</v>
      </c>
      <c r="F6" s="5" t="s">
        <v>91</v>
      </c>
      <c r="G6" s="5" t="s">
        <v>16</v>
      </c>
      <c r="H6" s="5" t="s">
        <v>77</v>
      </c>
      <c r="I6" s="5" t="s">
        <v>78</v>
      </c>
      <c r="J6" s="5" t="s">
        <v>92</v>
      </c>
      <c r="K6" s="5" t="s">
        <v>93</v>
      </c>
      <c r="L6" s="5" t="s">
        <v>94</v>
      </c>
      <c r="M6" s="5" t="s">
        <v>95</v>
      </c>
      <c r="N6" s="5" t="s">
        <v>96</v>
      </c>
      <c r="O6" s="5" t="s">
        <v>97</v>
      </c>
      <c r="P6" s="5" t="s">
        <v>98</v>
      </c>
      <c r="Q6" s="5" t="s">
        <v>99</v>
      </c>
      <c r="R6" s="5" t="s">
        <v>100</v>
      </c>
      <c r="S6" s="5" t="s">
        <v>14</v>
      </c>
      <c r="T6" s="5" t="s">
        <v>70</v>
      </c>
      <c r="U6" s="5" t="s">
        <v>101</v>
      </c>
      <c r="V6" s="5" t="s">
        <v>72</v>
      </c>
      <c r="W6" s="5"/>
    </row>
    <row r="7" spans="1:23" ht="21" customHeight="1">
      <c r="A7" s="5" t="s">
        <v>102</v>
      </c>
      <c r="B7" s="5" t="s">
        <v>15</v>
      </c>
      <c r="C7" s="5" t="s">
        <v>55</v>
      </c>
      <c r="D7" s="5" t="s">
        <v>74</v>
      </c>
      <c r="E7" s="5" t="s">
        <v>103</v>
      </c>
      <c r="F7" s="5" t="s">
        <v>104</v>
      </c>
      <c r="G7" s="5" t="s">
        <v>16</v>
      </c>
      <c r="H7" s="5" t="s">
        <v>77</v>
      </c>
      <c r="I7" s="5" t="s">
        <v>105</v>
      </c>
      <c r="J7" s="5" t="s">
        <v>106</v>
      </c>
      <c r="K7" s="5" t="s">
        <v>107</v>
      </c>
      <c r="L7" s="5" t="s">
        <v>108</v>
      </c>
      <c r="M7" s="5" t="s">
        <v>109</v>
      </c>
      <c r="N7" s="5" t="s">
        <v>110</v>
      </c>
      <c r="O7" s="5" t="s">
        <v>111</v>
      </c>
      <c r="P7" s="5" t="s">
        <v>112</v>
      </c>
      <c r="Q7" s="5" t="s">
        <v>113</v>
      </c>
      <c r="R7" s="5" t="s">
        <v>114</v>
      </c>
      <c r="S7" s="5" t="s">
        <v>16</v>
      </c>
      <c r="T7" s="5" t="s">
        <v>70</v>
      </c>
      <c r="U7" s="5" t="s">
        <v>115</v>
      </c>
      <c r="V7" s="5" t="s">
        <v>72</v>
      </c>
      <c r="W7" s="5"/>
    </row>
    <row r="8" spans="1:23" ht="21" customHeight="1">
      <c r="A8" s="5" t="s">
        <v>116</v>
      </c>
      <c r="B8" s="5" t="s">
        <v>15</v>
      </c>
      <c r="C8" s="5" t="s">
        <v>55</v>
      </c>
      <c r="D8" s="5" t="s">
        <v>74</v>
      </c>
      <c r="E8" s="5" t="s">
        <v>117</v>
      </c>
      <c r="F8" s="5" t="s">
        <v>118</v>
      </c>
      <c r="G8" s="5" t="s">
        <v>16</v>
      </c>
      <c r="H8" s="5" t="s">
        <v>77</v>
      </c>
      <c r="I8" s="5" t="s">
        <v>105</v>
      </c>
      <c r="J8" s="5" t="s">
        <v>119</v>
      </c>
      <c r="K8" s="5" t="s">
        <v>120</v>
      </c>
      <c r="L8" s="5" t="s">
        <v>121</v>
      </c>
      <c r="M8" s="5" t="s">
        <v>122</v>
      </c>
      <c r="N8" s="5" t="s">
        <v>123</v>
      </c>
      <c r="O8" s="5" t="s">
        <v>124</v>
      </c>
      <c r="P8" s="5" t="s">
        <v>125</v>
      </c>
      <c r="Q8" s="5" t="s">
        <v>126</v>
      </c>
      <c r="R8" s="5" t="s">
        <v>127</v>
      </c>
      <c r="S8" s="5" t="s">
        <v>18</v>
      </c>
      <c r="T8" s="5" t="s">
        <v>70</v>
      </c>
      <c r="U8" s="5" t="s">
        <v>128</v>
      </c>
      <c r="V8" s="5" t="s">
        <v>72</v>
      </c>
      <c r="W8" s="5"/>
    </row>
    <row r="9" spans="1:23" ht="21" customHeight="1">
      <c r="A9" s="5" t="s">
        <v>129</v>
      </c>
      <c r="B9" s="5" t="s">
        <v>15</v>
      </c>
      <c r="C9" s="5" t="s">
        <v>55</v>
      </c>
      <c r="D9" s="5" t="s">
        <v>74</v>
      </c>
      <c r="E9" s="5" t="s">
        <v>130</v>
      </c>
      <c r="F9" s="5" t="s">
        <v>131</v>
      </c>
      <c r="G9" s="5" t="s">
        <v>18</v>
      </c>
      <c r="H9" s="5" t="s">
        <v>59</v>
      </c>
      <c r="I9" s="5" t="s">
        <v>60</v>
      </c>
      <c r="J9" s="5" t="s">
        <v>132</v>
      </c>
      <c r="K9" s="5" t="s">
        <v>133</v>
      </c>
      <c r="L9" s="5" t="s">
        <v>134</v>
      </c>
      <c r="M9" s="5" t="s">
        <v>135</v>
      </c>
      <c r="N9" s="5" t="s">
        <v>136</v>
      </c>
      <c r="O9" s="5" t="s">
        <v>137</v>
      </c>
      <c r="P9" s="5" t="s">
        <v>138</v>
      </c>
      <c r="Q9" s="5" t="s">
        <v>139</v>
      </c>
      <c r="R9" s="5" t="s">
        <v>87</v>
      </c>
      <c r="S9" s="5" t="s">
        <v>16</v>
      </c>
      <c r="T9" s="5" t="s">
        <v>70</v>
      </c>
      <c r="U9" s="5" t="s">
        <v>140</v>
      </c>
      <c r="V9" s="5" t="s">
        <v>72</v>
      </c>
      <c r="W9" s="5"/>
    </row>
    <row r="10" spans="1:23" ht="21" customHeight="1">
      <c r="A10" s="5" t="s">
        <v>141</v>
      </c>
      <c r="B10" s="5" t="s">
        <v>15</v>
      </c>
      <c r="C10" s="5" t="s">
        <v>55</v>
      </c>
      <c r="D10" s="5" t="s">
        <v>142</v>
      </c>
      <c r="E10" s="5" t="s">
        <v>143</v>
      </c>
      <c r="F10" s="5" t="s">
        <v>144</v>
      </c>
      <c r="G10" s="5" t="s">
        <v>16</v>
      </c>
      <c r="H10" s="5" t="s">
        <v>77</v>
      </c>
      <c r="I10" s="5" t="s">
        <v>145</v>
      </c>
      <c r="J10" s="5" t="s">
        <v>146</v>
      </c>
      <c r="K10" s="5" t="s">
        <v>147</v>
      </c>
      <c r="L10" s="5" t="s">
        <v>148</v>
      </c>
      <c r="M10" s="5" t="s">
        <v>149</v>
      </c>
      <c r="N10" s="5" t="s">
        <v>150</v>
      </c>
      <c r="O10" s="5" t="s">
        <v>151</v>
      </c>
      <c r="P10" s="5" t="s">
        <v>152</v>
      </c>
      <c r="Q10" s="5" t="s">
        <v>153</v>
      </c>
      <c r="R10" s="5" t="s">
        <v>87</v>
      </c>
      <c r="S10" s="5" t="s">
        <v>14</v>
      </c>
      <c r="T10" s="5" t="s">
        <v>70</v>
      </c>
      <c r="U10" s="5" t="s">
        <v>154</v>
      </c>
      <c r="V10" s="5" t="s">
        <v>72</v>
      </c>
      <c r="W10" s="5"/>
    </row>
    <row r="11" spans="1:23" ht="21" customHeight="1">
      <c r="A11" s="5" t="s">
        <v>155</v>
      </c>
      <c r="B11" s="5" t="s">
        <v>15</v>
      </c>
      <c r="C11" s="5" t="s">
        <v>55</v>
      </c>
      <c r="D11" s="5" t="s">
        <v>156</v>
      </c>
      <c r="E11" s="5" t="s">
        <v>157</v>
      </c>
      <c r="F11" s="5" t="s">
        <v>158</v>
      </c>
      <c r="G11" s="5" t="s">
        <v>16</v>
      </c>
      <c r="H11" s="5" t="s">
        <v>77</v>
      </c>
      <c r="I11" s="5" t="s">
        <v>159</v>
      </c>
      <c r="J11" s="5" t="s">
        <v>160</v>
      </c>
      <c r="K11" s="5" t="s">
        <v>161</v>
      </c>
      <c r="L11" s="5" t="s">
        <v>162</v>
      </c>
      <c r="M11" s="5" t="s">
        <v>163</v>
      </c>
      <c r="N11" s="5" t="s">
        <v>164</v>
      </c>
      <c r="O11" s="5" t="s">
        <v>165</v>
      </c>
      <c r="P11" s="5" t="s">
        <v>166</v>
      </c>
      <c r="Q11" s="5" t="s">
        <v>167</v>
      </c>
      <c r="R11" s="5" t="s">
        <v>168</v>
      </c>
      <c r="S11" s="5" t="s">
        <v>14</v>
      </c>
      <c r="T11" s="5" t="s">
        <v>70</v>
      </c>
      <c r="U11" s="5" t="s">
        <v>169</v>
      </c>
      <c r="V11" s="5" t="s">
        <v>72</v>
      </c>
      <c r="W11" s="5"/>
    </row>
    <row r="12" spans="1:23" ht="21" customHeight="1">
      <c r="A12" s="5" t="s">
        <v>170</v>
      </c>
      <c r="B12" s="5" t="s">
        <v>15</v>
      </c>
      <c r="C12" s="5" t="s">
        <v>55</v>
      </c>
      <c r="D12" s="5" t="s">
        <v>156</v>
      </c>
      <c r="E12" s="5" t="s">
        <v>171</v>
      </c>
      <c r="F12" s="5" t="s">
        <v>172</v>
      </c>
      <c r="G12" s="5" t="s">
        <v>16</v>
      </c>
      <c r="H12" s="5" t="s">
        <v>77</v>
      </c>
      <c r="I12" s="5" t="s">
        <v>159</v>
      </c>
      <c r="J12" s="5" t="s">
        <v>173</v>
      </c>
      <c r="K12" s="5" t="s">
        <v>174</v>
      </c>
      <c r="L12" s="5" t="s">
        <v>175</v>
      </c>
      <c r="M12" s="5" t="s">
        <v>176</v>
      </c>
      <c r="N12" s="5" t="s">
        <v>177</v>
      </c>
      <c r="O12" s="5" t="s">
        <v>178</v>
      </c>
      <c r="P12" s="5" t="s">
        <v>179</v>
      </c>
      <c r="Q12" s="5" t="s">
        <v>180</v>
      </c>
      <c r="R12" s="5" t="s">
        <v>87</v>
      </c>
      <c r="S12" s="5" t="s">
        <v>14</v>
      </c>
      <c r="T12" s="5" t="s">
        <v>70</v>
      </c>
      <c r="U12" s="5" t="s">
        <v>181</v>
      </c>
      <c r="V12" s="5" t="s">
        <v>72</v>
      </c>
      <c r="W12" s="5"/>
    </row>
    <row r="13" spans="1:23" ht="21" customHeight="1">
      <c r="A13" s="5" t="s">
        <v>182</v>
      </c>
      <c r="B13" s="5" t="s">
        <v>15</v>
      </c>
      <c r="C13" s="5" t="s">
        <v>55</v>
      </c>
      <c r="D13" s="5" t="s">
        <v>183</v>
      </c>
      <c r="E13" s="5" t="s">
        <v>184</v>
      </c>
      <c r="F13" s="5" t="s">
        <v>185</v>
      </c>
      <c r="G13" s="5" t="s">
        <v>16</v>
      </c>
      <c r="H13" s="5" t="s">
        <v>77</v>
      </c>
      <c r="I13" s="5" t="s">
        <v>105</v>
      </c>
      <c r="J13" s="5" t="s">
        <v>186</v>
      </c>
      <c r="K13" s="5" t="s">
        <v>187</v>
      </c>
      <c r="L13" s="5" t="s">
        <v>188</v>
      </c>
      <c r="M13" s="5" t="s">
        <v>189</v>
      </c>
      <c r="N13" s="5" t="s">
        <v>190</v>
      </c>
      <c r="O13" s="5" t="s">
        <v>191</v>
      </c>
      <c r="P13" s="5" t="s">
        <v>192</v>
      </c>
      <c r="Q13" s="5" t="s">
        <v>193</v>
      </c>
      <c r="R13" s="5" t="s">
        <v>87</v>
      </c>
      <c r="S13" s="5" t="s">
        <v>14</v>
      </c>
      <c r="T13" s="5" t="s">
        <v>70</v>
      </c>
      <c r="U13" s="5" t="s">
        <v>194</v>
      </c>
      <c r="V13" s="5" t="s">
        <v>72</v>
      </c>
      <c r="W13" s="5"/>
    </row>
    <row r="14" spans="1:23" ht="21" customHeight="1">
      <c r="A14" s="5" t="s">
        <v>195</v>
      </c>
      <c r="B14" s="5" t="s">
        <v>15</v>
      </c>
      <c r="C14" s="5" t="s">
        <v>55</v>
      </c>
      <c r="D14" s="5" t="s">
        <v>183</v>
      </c>
      <c r="E14" s="5" t="s">
        <v>196</v>
      </c>
      <c r="F14" s="5" t="s">
        <v>197</v>
      </c>
      <c r="G14" s="5" t="s">
        <v>16</v>
      </c>
      <c r="H14" s="5" t="s">
        <v>77</v>
      </c>
      <c r="I14" s="5" t="s">
        <v>105</v>
      </c>
      <c r="J14" s="5" t="s">
        <v>198</v>
      </c>
      <c r="K14" s="5" t="s">
        <v>199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139</v>
      </c>
      <c r="R14" s="5" t="s">
        <v>205</v>
      </c>
      <c r="S14" s="5" t="s">
        <v>16</v>
      </c>
      <c r="T14" s="5" t="s">
        <v>70</v>
      </c>
      <c r="U14" s="5" t="s">
        <v>206</v>
      </c>
      <c r="V14" s="5" t="s">
        <v>72</v>
      </c>
      <c r="W14" s="5"/>
    </row>
    <row r="15" spans="1:23" ht="21" customHeight="1">
      <c r="A15" s="5" t="s">
        <v>207</v>
      </c>
      <c r="B15" s="5" t="s">
        <v>15</v>
      </c>
      <c r="C15" s="5" t="s">
        <v>55</v>
      </c>
      <c r="D15" s="5" t="s">
        <v>208</v>
      </c>
      <c r="E15" s="5" t="s">
        <v>209</v>
      </c>
      <c r="F15" s="5" t="s">
        <v>210</v>
      </c>
      <c r="G15" s="5" t="s">
        <v>16</v>
      </c>
      <c r="H15" s="5" t="s">
        <v>77</v>
      </c>
      <c r="I15" s="5" t="s">
        <v>159</v>
      </c>
      <c r="J15" s="5" t="s">
        <v>211</v>
      </c>
      <c r="K15" s="5" t="s">
        <v>212</v>
      </c>
      <c r="L15" s="5" t="s">
        <v>213</v>
      </c>
      <c r="M15" s="5" t="s">
        <v>214</v>
      </c>
      <c r="N15" s="5" t="s">
        <v>215</v>
      </c>
      <c r="O15" s="5" t="s">
        <v>216</v>
      </c>
      <c r="P15" s="5" t="s">
        <v>217</v>
      </c>
      <c r="Q15" s="5" t="s">
        <v>218</v>
      </c>
      <c r="R15" s="5" t="s">
        <v>87</v>
      </c>
      <c r="S15" s="5" t="s">
        <v>14</v>
      </c>
      <c r="T15" s="5" t="s">
        <v>70</v>
      </c>
      <c r="U15" s="5" t="s">
        <v>219</v>
      </c>
      <c r="V15" s="5" t="s">
        <v>72</v>
      </c>
      <c r="W15" s="5"/>
    </row>
    <row r="16" spans="1:23" ht="21" customHeight="1">
      <c r="A16" s="5" t="s">
        <v>220</v>
      </c>
      <c r="B16" s="5" t="s">
        <v>15</v>
      </c>
      <c r="C16" s="5" t="s">
        <v>55</v>
      </c>
      <c r="D16" s="5" t="s">
        <v>208</v>
      </c>
      <c r="E16" s="5" t="s">
        <v>221</v>
      </c>
      <c r="F16" s="5" t="s">
        <v>222</v>
      </c>
      <c r="G16" s="5" t="s">
        <v>18</v>
      </c>
      <c r="H16" s="5" t="s">
        <v>77</v>
      </c>
      <c r="I16" s="5" t="s">
        <v>159</v>
      </c>
      <c r="J16" s="5" t="s">
        <v>223</v>
      </c>
      <c r="K16" s="5" t="s">
        <v>224</v>
      </c>
      <c r="L16" s="5" t="s">
        <v>225</v>
      </c>
      <c r="M16" s="5" t="s">
        <v>226</v>
      </c>
      <c r="N16" s="5" t="s">
        <v>227</v>
      </c>
      <c r="O16" s="5" t="s">
        <v>228</v>
      </c>
      <c r="P16" s="5" t="s">
        <v>229</v>
      </c>
      <c r="Q16" s="5" t="s">
        <v>230</v>
      </c>
      <c r="R16" s="5" t="s">
        <v>205</v>
      </c>
      <c r="S16" s="5" t="s">
        <v>16</v>
      </c>
      <c r="T16" s="5" t="s">
        <v>70</v>
      </c>
      <c r="U16" s="5" t="s">
        <v>231</v>
      </c>
      <c r="V16" s="5" t="s">
        <v>72</v>
      </c>
      <c r="W16" s="5"/>
    </row>
    <row r="17" spans="1:23" ht="21" customHeight="1">
      <c r="A17" s="5" t="s">
        <v>232</v>
      </c>
      <c r="B17" s="5" t="s">
        <v>15</v>
      </c>
      <c r="C17" s="5" t="s">
        <v>55</v>
      </c>
      <c r="D17" s="5" t="s">
        <v>233</v>
      </c>
      <c r="E17" s="5" t="s">
        <v>234</v>
      </c>
      <c r="F17" s="5" t="s">
        <v>235</v>
      </c>
      <c r="G17" s="5" t="s">
        <v>16</v>
      </c>
      <c r="H17" s="5" t="s">
        <v>77</v>
      </c>
      <c r="I17" s="5" t="s">
        <v>105</v>
      </c>
      <c r="J17" s="5" t="s">
        <v>236</v>
      </c>
      <c r="K17" s="5" t="s">
        <v>237</v>
      </c>
      <c r="L17" s="5" t="s">
        <v>238</v>
      </c>
      <c r="M17" s="5" t="s">
        <v>239</v>
      </c>
      <c r="N17" s="5" t="s">
        <v>240</v>
      </c>
      <c r="O17" s="5" t="s">
        <v>241</v>
      </c>
      <c r="P17" s="5" t="s">
        <v>242</v>
      </c>
      <c r="Q17" s="5" t="s">
        <v>243</v>
      </c>
      <c r="R17" s="5" t="s">
        <v>114</v>
      </c>
      <c r="S17" s="5" t="s">
        <v>16</v>
      </c>
      <c r="T17" s="5" t="s">
        <v>70</v>
      </c>
      <c r="U17" s="5" t="s">
        <v>244</v>
      </c>
      <c r="V17" s="5" t="s">
        <v>72</v>
      </c>
      <c r="W17" s="5"/>
    </row>
    <row r="18" spans="1:23" ht="21" customHeight="1">
      <c r="A18" s="5" t="s">
        <v>245</v>
      </c>
      <c r="B18" s="5" t="s">
        <v>15</v>
      </c>
      <c r="C18" s="5" t="s">
        <v>55</v>
      </c>
      <c r="D18" s="5" t="s">
        <v>233</v>
      </c>
      <c r="E18" s="5" t="s">
        <v>246</v>
      </c>
      <c r="F18" s="5" t="s">
        <v>247</v>
      </c>
      <c r="G18" s="5" t="s">
        <v>16</v>
      </c>
      <c r="H18" s="5" t="s">
        <v>77</v>
      </c>
      <c r="I18" s="5" t="s">
        <v>159</v>
      </c>
      <c r="J18" s="5" t="s">
        <v>248</v>
      </c>
      <c r="K18" s="5" t="s">
        <v>249</v>
      </c>
      <c r="L18" s="5" t="s">
        <v>250</v>
      </c>
      <c r="M18" s="5" t="s">
        <v>251</v>
      </c>
      <c r="N18" s="5" t="s">
        <v>252</v>
      </c>
      <c r="O18" s="5" t="s">
        <v>253</v>
      </c>
      <c r="P18" s="5" t="s">
        <v>254</v>
      </c>
      <c r="Q18" s="5" t="s">
        <v>255</v>
      </c>
      <c r="R18" s="5" t="s">
        <v>100</v>
      </c>
      <c r="S18" s="5" t="s">
        <v>14</v>
      </c>
      <c r="T18" s="5" t="s">
        <v>70</v>
      </c>
      <c r="U18" s="5" t="s">
        <v>256</v>
      </c>
      <c r="V18" s="5" t="s">
        <v>72</v>
      </c>
      <c r="W18" s="5"/>
    </row>
    <row r="19" spans="1:23" ht="21" customHeight="1">
      <c r="A19" s="5" t="s">
        <v>257</v>
      </c>
      <c r="B19" s="5" t="s">
        <v>17</v>
      </c>
      <c r="C19" s="5" t="s">
        <v>55</v>
      </c>
      <c r="D19" s="5" t="s">
        <v>258</v>
      </c>
      <c r="E19" s="5" t="s">
        <v>259</v>
      </c>
      <c r="F19" s="5" t="s">
        <v>260</v>
      </c>
      <c r="G19" s="5" t="s">
        <v>16</v>
      </c>
      <c r="H19" s="5" t="s">
        <v>77</v>
      </c>
      <c r="I19" s="5" t="s">
        <v>145</v>
      </c>
      <c r="J19" s="5" t="s">
        <v>261</v>
      </c>
      <c r="K19" s="5" t="s">
        <v>262</v>
      </c>
      <c r="L19" s="5" t="s">
        <v>263</v>
      </c>
      <c r="M19" s="5" t="s">
        <v>264</v>
      </c>
      <c r="N19" s="5" t="s">
        <v>265</v>
      </c>
      <c r="O19" s="5" t="s">
        <v>266</v>
      </c>
      <c r="P19" s="5" t="s">
        <v>267</v>
      </c>
      <c r="Q19" s="5" t="s">
        <v>268</v>
      </c>
      <c r="R19" s="5" t="s">
        <v>269</v>
      </c>
      <c r="S19" s="5" t="s">
        <v>14</v>
      </c>
      <c r="T19" s="5" t="s">
        <v>70</v>
      </c>
      <c r="U19" s="5" t="s">
        <v>270</v>
      </c>
      <c r="V19" s="5" t="s">
        <v>72</v>
      </c>
      <c r="W19" s="5"/>
    </row>
    <row r="20" spans="1:23" ht="21" customHeight="1">
      <c r="A20" s="5" t="s">
        <v>271</v>
      </c>
      <c r="B20" s="5" t="s">
        <v>17</v>
      </c>
      <c r="C20" s="5" t="s">
        <v>55</v>
      </c>
      <c r="D20" s="5" t="s">
        <v>258</v>
      </c>
      <c r="E20" s="5" t="s">
        <v>272</v>
      </c>
      <c r="F20" s="5" t="s">
        <v>273</v>
      </c>
      <c r="G20" s="5" t="s">
        <v>16</v>
      </c>
      <c r="H20" s="5" t="s">
        <v>77</v>
      </c>
      <c r="I20" s="5" t="s">
        <v>159</v>
      </c>
      <c r="J20" s="5" t="s">
        <v>274</v>
      </c>
      <c r="K20" s="5" t="s">
        <v>275</v>
      </c>
      <c r="L20" s="5" t="s">
        <v>276</v>
      </c>
      <c r="M20" s="5" t="s">
        <v>277</v>
      </c>
      <c r="N20" s="5" t="s">
        <v>278</v>
      </c>
      <c r="O20" s="5" t="s">
        <v>279</v>
      </c>
      <c r="P20" s="5" t="s">
        <v>258</v>
      </c>
      <c r="Q20" s="5" t="s">
        <v>280</v>
      </c>
      <c r="R20" s="5" t="s">
        <v>100</v>
      </c>
      <c r="S20" s="5" t="s">
        <v>14</v>
      </c>
      <c r="T20" s="5" t="s">
        <v>70</v>
      </c>
      <c r="U20" s="5" t="s">
        <v>281</v>
      </c>
      <c r="V20" s="5" t="s">
        <v>72</v>
      </c>
      <c r="W20" s="5"/>
    </row>
    <row r="21" spans="1:23" ht="21" customHeight="1">
      <c r="A21" s="5" t="s">
        <v>282</v>
      </c>
      <c r="B21" s="5" t="s">
        <v>17</v>
      </c>
      <c r="C21" s="5" t="s">
        <v>55</v>
      </c>
      <c r="D21" s="5" t="s">
        <v>258</v>
      </c>
      <c r="E21" s="5" t="s">
        <v>283</v>
      </c>
      <c r="F21" s="5" t="s">
        <v>284</v>
      </c>
      <c r="G21" s="5" t="s">
        <v>16</v>
      </c>
      <c r="H21" s="5" t="s">
        <v>77</v>
      </c>
      <c r="I21" s="5" t="s">
        <v>285</v>
      </c>
      <c r="J21" s="5" t="s">
        <v>286</v>
      </c>
      <c r="K21" s="5" t="s">
        <v>287</v>
      </c>
      <c r="L21" s="5" t="s">
        <v>288</v>
      </c>
      <c r="M21" s="5" t="s">
        <v>289</v>
      </c>
      <c r="N21" s="5" t="s">
        <v>290</v>
      </c>
      <c r="O21" s="5" t="s">
        <v>291</v>
      </c>
      <c r="P21" s="5" t="s">
        <v>292</v>
      </c>
      <c r="Q21" s="5" t="s">
        <v>293</v>
      </c>
      <c r="R21" s="5" t="s">
        <v>100</v>
      </c>
      <c r="S21" s="5" t="s">
        <v>14</v>
      </c>
      <c r="T21" s="5" t="s">
        <v>70</v>
      </c>
      <c r="U21" s="5" t="s">
        <v>294</v>
      </c>
      <c r="V21" s="5" t="s">
        <v>72</v>
      </c>
      <c r="W21" s="5"/>
    </row>
    <row r="22" spans="1:23" ht="21" customHeight="1">
      <c r="A22" s="5" t="s">
        <v>295</v>
      </c>
      <c r="B22" s="5" t="s">
        <v>17</v>
      </c>
      <c r="C22" s="5" t="s">
        <v>55</v>
      </c>
      <c r="D22" s="5" t="s">
        <v>258</v>
      </c>
      <c r="E22" s="5" t="s">
        <v>296</v>
      </c>
      <c r="F22" s="5" t="s">
        <v>297</v>
      </c>
      <c r="G22" s="5" t="s">
        <v>16</v>
      </c>
      <c r="H22" s="5" t="s">
        <v>77</v>
      </c>
      <c r="I22" s="5" t="s">
        <v>159</v>
      </c>
      <c r="J22" s="5" t="s">
        <v>298</v>
      </c>
      <c r="K22" s="5" t="s">
        <v>299</v>
      </c>
      <c r="L22" s="5" t="s">
        <v>300</v>
      </c>
      <c r="M22" s="5" t="s">
        <v>301</v>
      </c>
      <c r="N22" s="5" t="s">
        <v>302</v>
      </c>
      <c r="O22" s="5" t="s">
        <v>303</v>
      </c>
      <c r="P22" s="5" t="s">
        <v>304</v>
      </c>
      <c r="Q22" s="5" t="s">
        <v>305</v>
      </c>
      <c r="R22" s="5" t="s">
        <v>100</v>
      </c>
      <c r="S22" s="5" t="s">
        <v>14</v>
      </c>
      <c r="T22" s="5" t="s">
        <v>70</v>
      </c>
      <c r="U22" s="5" t="s">
        <v>306</v>
      </c>
      <c r="V22" s="5" t="s">
        <v>72</v>
      </c>
      <c r="W22" s="5"/>
    </row>
    <row r="23" spans="1:23" ht="21" customHeight="1">
      <c r="A23" s="5" t="s">
        <v>307</v>
      </c>
      <c r="B23" s="5" t="s">
        <v>17</v>
      </c>
      <c r="C23" s="5" t="s">
        <v>55</v>
      </c>
      <c r="D23" s="5" t="s">
        <v>308</v>
      </c>
      <c r="E23" s="5" t="s">
        <v>309</v>
      </c>
      <c r="F23" s="5" t="s">
        <v>310</v>
      </c>
      <c r="G23" s="5" t="s">
        <v>16</v>
      </c>
      <c r="H23" s="5" t="s">
        <v>77</v>
      </c>
      <c r="I23" s="5" t="s">
        <v>159</v>
      </c>
      <c r="J23" s="5" t="s">
        <v>311</v>
      </c>
      <c r="K23" s="5" t="s">
        <v>312</v>
      </c>
      <c r="L23" s="5" t="s">
        <v>313</v>
      </c>
      <c r="M23" s="5" t="s">
        <v>314</v>
      </c>
      <c r="N23" s="5" t="s">
        <v>315</v>
      </c>
      <c r="O23" s="5" t="s">
        <v>316</v>
      </c>
      <c r="P23" s="5" t="s">
        <v>317</v>
      </c>
      <c r="Q23" s="5" t="s">
        <v>318</v>
      </c>
      <c r="R23" s="5" t="s">
        <v>100</v>
      </c>
      <c r="S23" s="5" t="s">
        <v>14</v>
      </c>
      <c r="T23" s="5" t="s">
        <v>70</v>
      </c>
      <c r="U23" s="5" t="s">
        <v>319</v>
      </c>
      <c r="V23" s="5" t="s">
        <v>72</v>
      </c>
      <c r="W23" s="5"/>
    </row>
    <row r="24" spans="1:23" ht="21" customHeight="1">
      <c r="A24" s="5" t="s">
        <v>320</v>
      </c>
      <c r="B24" s="5" t="s">
        <v>17</v>
      </c>
      <c r="C24" s="5" t="s">
        <v>55</v>
      </c>
      <c r="D24" s="5" t="s">
        <v>308</v>
      </c>
      <c r="E24" s="5" t="s">
        <v>321</v>
      </c>
      <c r="F24" s="5" t="s">
        <v>322</v>
      </c>
      <c r="G24" s="5" t="s">
        <v>16</v>
      </c>
      <c r="H24" s="5" t="s">
        <v>77</v>
      </c>
      <c r="I24" s="5" t="s">
        <v>159</v>
      </c>
      <c r="J24" s="5" t="s">
        <v>323</v>
      </c>
      <c r="K24" s="5" t="s">
        <v>324</v>
      </c>
      <c r="L24" s="5" t="s">
        <v>325</v>
      </c>
      <c r="M24" s="5" t="s">
        <v>326</v>
      </c>
      <c r="N24" s="5" t="s">
        <v>327</v>
      </c>
      <c r="O24" s="5" t="s">
        <v>328</v>
      </c>
      <c r="P24" s="5" t="s">
        <v>329</v>
      </c>
      <c r="Q24" s="5" t="s">
        <v>167</v>
      </c>
      <c r="R24" s="5" t="s">
        <v>100</v>
      </c>
      <c r="S24" s="5" t="s">
        <v>14</v>
      </c>
      <c r="T24" s="5" t="s">
        <v>70</v>
      </c>
      <c r="U24" s="5" t="s">
        <v>330</v>
      </c>
      <c r="V24" s="5" t="s">
        <v>72</v>
      </c>
      <c r="W24" s="5"/>
    </row>
    <row r="25" spans="1:23" ht="21" customHeight="1">
      <c r="A25" s="5" t="s">
        <v>331</v>
      </c>
      <c r="B25" s="5" t="s">
        <v>17</v>
      </c>
      <c r="C25" s="5" t="s">
        <v>55</v>
      </c>
      <c r="D25" s="5" t="s">
        <v>332</v>
      </c>
      <c r="E25" s="5" t="s">
        <v>333</v>
      </c>
      <c r="F25" s="5" t="s">
        <v>334</v>
      </c>
      <c r="G25" s="5" t="s">
        <v>20</v>
      </c>
      <c r="H25" s="5" t="s">
        <v>335</v>
      </c>
      <c r="I25" s="5" t="s">
        <v>336</v>
      </c>
      <c r="J25" s="5" t="s">
        <v>337</v>
      </c>
      <c r="K25" s="5" t="s">
        <v>338</v>
      </c>
      <c r="L25" s="5" t="s">
        <v>339</v>
      </c>
      <c r="M25" s="5" t="s">
        <v>340</v>
      </c>
      <c r="N25" s="5" t="s">
        <v>341</v>
      </c>
      <c r="O25" s="5" t="s">
        <v>342</v>
      </c>
      <c r="P25" s="5" t="s">
        <v>343</v>
      </c>
      <c r="Q25" s="5" t="s">
        <v>344</v>
      </c>
      <c r="R25" s="5" t="s">
        <v>345</v>
      </c>
      <c r="S25" s="5" t="s">
        <v>22</v>
      </c>
      <c r="T25" s="5" t="s">
        <v>346</v>
      </c>
      <c r="U25" s="5" t="s">
        <v>347</v>
      </c>
      <c r="V25" s="5" t="s">
        <v>72</v>
      </c>
      <c r="W25" s="5"/>
    </row>
    <row r="26" spans="1:23" ht="21" customHeight="1">
      <c r="A26" s="5" t="s">
        <v>348</v>
      </c>
      <c r="B26" s="5" t="s">
        <v>17</v>
      </c>
      <c r="C26" s="5" t="s">
        <v>55</v>
      </c>
      <c r="D26" s="5" t="s">
        <v>343</v>
      </c>
      <c r="E26" s="5" t="s">
        <v>349</v>
      </c>
      <c r="F26" s="5" t="s">
        <v>350</v>
      </c>
      <c r="G26" s="5" t="s">
        <v>16</v>
      </c>
      <c r="H26" s="5" t="s">
        <v>77</v>
      </c>
      <c r="I26" s="5" t="s">
        <v>145</v>
      </c>
      <c r="J26" s="5" t="s">
        <v>351</v>
      </c>
      <c r="K26" s="5" t="s">
        <v>352</v>
      </c>
      <c r="L26" s="5" t="s">
        <v>353</v>
      </c>
      <c r="M26" s="5" t="s">
        <v>354</v>
      </c>
      <c r="N26" s="5" t="s">
        <v>355</v>
      </c>
      <c r="O26" s="5" t="s">
        <v>356</v>
      </c>
      <c r="P26" s="5" t="s">
        <v>357</v>
      </c>
      <c r="Q26" s="5" t="s">
        <v>358</v>
      </c>
      <c r="R26" s="5" t="s">
        <v>359</v>
      </c>
      <c r="S26" s="5" t="s">
        <v>16</v>
      </c>
      <c r="T26" s="5" t="s">
        <v>70</v>
      </c>
      <c r="U26" s="5" t="s">
        <v>360</v>
      </c>
      <c r="V26" s="5" t="s">
        <v>72</v>
      </c>
      <c r="W26" s="5"/>
    </row>
    <row r="27" spans="1:23" ht="21" customHeight="1">
      <c r="A27" s="5" t="s">
        <v>361</v>
      </c>
      <c r="B27" s="5" t="s">
        <v>17</v>
      </c>
      <c r="C27" s="5" t="s">
        <v>55</v>
      </c>
      <c r="D27" s="5" t="s">
        <v>343</v>
      </c>
      <c r="E27" s="5" t="s">
        <v>362</v>
      </c>
      <c r="F27" s="5" t="s">
        <v>363</v>
      </c>
      <c r="G27" s="5" t="s">
        <v>16</v>
      </c>
      <c r="H27" s="5" t="s">
        <v>77</v>
      </c>
      <c r="I27" s="5" t="s">
        <v>364</v>
      </c>
      <c r="J27" s="5" t="s">
        <v>365</v>
      </c>
      <c r="K27" s="5" t="s">
        <v>366</v>
      </c>
      <c r="L27" s="5" t="s">
        <v>367</v>
      </c>
      <c r="M27" s="5" t="s">
        <v>368</v>
      </c>
      <c r="N27" s="5" t="s">
        <v>369</v>
      </c>
      <c r="O27" s="5" t="s">
        <v>370</v>
      </c>
      <c r="P27" s="5" t="s">
        <v>371</v>
      </c>
      <c r="Q27" s="5" t="s">
        <v>139</v>
      </c>
      <c r="R27" s="5" t="s">
        <v>69</v>
      </c>
      <c r="S27" s="5" t="s">
        <v>14</v>
      </c>
      <c r="T27" s="5" t="s">
        <v>70</v>
      </c>
      <c r="U27" s="5" t="s">
        <v>372</v>
      </c>
      <c r="V27" s="5" t="s">
        <v>72</v>
      </c>
      <c r="W27" s="5"/>
    </row>
    <row r="28" spans="1:23" ht="21" customHeight="1">
      <c r="A28" s="5" t="s">
        <v>373</v>
      </c>
      <c r="B28" s="5" t="s">
        <v>17</v>
      </c>
      <c r="C28" s="5" t="s">
        <v>55</v>
      </c>
      <c r="D28" s="5" t="s">
        <v>343</v>
      </c>
      <c r="E28" s="5" t="s">
        <v>374</v>
      </c>
      <c r="F28" s="5" t="s">
        <v>375</v>
      </c>
      <c r="G28" s="5" t="s">
        <v>16</v>
      </c>
      <c r="H28" s="5" t="s">
        <v>77</v>
      </c>
      <c r="I28" s="5" t="s">
        <v>364</v>
      </c>
      <c r="J28" s="5" t="s">
        <v>376</v>
      </c>
      <c r="K28" s="5" t="s">
        <v>377</v>
      </c>
      <c r="L28" s="5" t="s">
        <v>378</v>
      </c>
      <c r="M28" s="5" t="s">
        <v>379</v>
      </c>
      <c r="N28" s="5" t="s">
        <v>380</v>
      </c>
      <c r="O28" s="5" t="s">
        <v>381</v>
      </c>
      <c r="P28" s="5" t="s">
        <v>371</v>
      </c>
      <c r="Q28" s="5" t="s">
        <v>382</v>
      </c>
      <c r="R28" s="5" t="s">
        <v>87</v>
      </c>
      <c r="S28" s="5" t="s">
        <v>14</v>
      </c>
      <c r="T28" s="5" t="s">
        <v>70</v>
      </c>
      <c r="U28" s="5" t="s">
        <v>383</v>
      </c>
      <c r="V28" s="5" t="s">
        <v>72</v>
      </c>
      <c r="W28" s="5"/>
    </row>
    <row r="29" spans="1:23" ht="21" customHeight="1">
      <c r="A29" s="5" t="s">
        <v>384</v>
      </c>
      <c r="B29" s="5" t="s">
        <v>17</v>
      </c>
      <c r="C29" s="5" t="s">
        <v>55</v>
      </c>
      <c r="D29" s="5" t="s">
        <v>343</v>
      </c>
      <c r="E29" s="5" t="s">
        <v>385</v>
      </c>
      <c r="F29" s="5" t="s">
        <v>386</v>
      </c>
      <c r="G29" s="5" t="s">
        <v>18</v>
      </c>
      <c r="H29" s="5" t="s">
        <v>59</v>
      </c>
      <c r="I29" s="5" t="s">
        <v>60</v>
      </c>
      <c r="J29" s="5" t="s">
        <v>387</v>
      </c>
      <c r="K29" s="5" t="s">
        <v>388</v>
      </c>
      <c r="L29" s="5" t="s">
        <v>389</v>
      </c>
      <c r="M29" s="5" t="s">
        <v>390</v>
      </c>
      <c r="N29" s="5" t="s">
        <v>391</v>
      </c>
      <c r="O29" s="5" t="s">
        <v>392</v>
      </c>
      <c r="P29" s="5" t="s">
        <v>343</v>
      </c>
      <c r="Q29" s="5" t="s">
        <v>393</v>
      </c>
      <c r="R29" s="5" t="s">
        <v>394</v>
      </c>
      <c r="S29" s="5" t="s">
        <v>18</v>
      </c>
      <c r="T29" s="5" t="s">
        <v>70</v>
      </c>
      <c r="U29" s="5" t="s">
        <v>395</v>
      </c>
      <c r="V29" s="5" t="s">
        <v>72</v>
      </c>
      <c r="W29" s="5"/>
    </row>
    <row r="30" spans="1:23" ht="21" customHeight="1">
      <c r="A30" s="5" t="s">
        <v>396</v>
      </c>
      <c r="B30" s="5" t="s">
        <v>17</v>
      </c>
      <c r="C30" s="5" t="s">
        <v>55</v>
      </c>
      <c r="D30" s="5" t="s">
        <v>343</v>
      </c>
      <c r="E30" s="5" t="s">
        <v>397</v>
      </c>
      <c r="F30" s="5" t="s">
        <v>398</v>
      </c>
      <c r="G30" s="5" t="s">
        <v>16</v>
      </c>
      <c r="H30" s="5" t="s">
        <v>77</v>
      </c>
      <c r="I30" s="5" t="s">
        <v>159</v>
      </c>
      <c r="J30" s="5" t="s">
        <v>399</v>
      </c>
      <c r="K30" s="5" t="s">
        <v>400</v>
      </c>
      <c r="L30" s="5" t="s">
        <v>401</v>
      </c>
      <c r="M30" s="5" t="s">
        <v>402</v>
      </c>
      <c r="N30" s="5" t="s">
        <v>403</v>
      </c>
      <c r="O30" s="5" t="s">
        <v>404</v>
      </c>
      <c r="P30" s="5" t="s">
        <v>405</v>
      </c>
      <c r="Q30" s="5" t="s">
        <v>406</v>
      </c>
      <c r="R30" s="5" t="s">
        <v>407</v>
      </c>
      <c r="S30" s="5" t="s">
        <v>14</v>
      </c>
      <c r="T30" s="5" t="s">
        <v>70</v>
      </c>
      <c r="U30" s="5" t="s">
        <v>408</v>
      </c>
      <c r="V30" s="5" t="s">
        <v>72</v>
      </c>
      <c r="W30" s="5"/>
    </row>
    <row r="31" spans="1:23" ht="21" customHeight="1">
      <c r="A31" s="5" t="s">
        <v>409</v>
      </c>
      <c r="B31" s="5" t="s">
        <v>17</v>
      </c>
      <c r="C31" s="5" t="s">
        <v>55</v>
      </c>
      <c r="D31" s="5" t="s">
        <v>343</v>
      </c>
      <c r="E31" s="5" t="s">
        <v>410</v>
      </c>
      <c r="F31" s="5" t="s">
        <v>411</v>
      </c>
      <c r="G31" s="5" t="s">
        <v>18</v>
      </c>
      <c r="H31" s="5" t="s">
        <v>77</v>
      </c>
      <c r="I31" s="5" t="s">
        <v>159</v>
      </c>
      <c r="J31" s="5" t="s">
        <v>412</v>
      </c>
      <c r="K31" s="5" t="s">
        <v>413</v>
      </c>
      <c r="L31" s="5" t="s">
        <v>414</v>
      </c>
      <c r="M31" s="5" t="s">
        <v>415</v>
      </c>
      <c r="N31" s="5" t="s">
        <v>416</v>
      </c>
      <c r="O31" s="5" t="s">
        <v>417</v>
      </c>
      <c r="P31" s="5" t="s">
        <v>418</v>
      </c>
      <c r="Q31" s="5" t="s">
        <v>419</v>
      </c>
      <c r="R31" s="5" t="s">
        <v>205</v>
      </c>
      <c r="S31" s="5" t="s">
        <v>16</v>
      </c>
      <c r="T31" s="5" t="s">
        <v>70</v>
      </c>
      <c r="U31" s="5" t="s">
        <v>420</v>
      </c>
      <c r="V31" s="5" t="s">
        <v>72</v>
      </c>
      <c r="W31" s="5"/>
    </row>
    <row r="32" spans="1:23" ht="21" customHeight="1">
      <c r="A32" s="5" t="s">
        <v>421</v>
      </c>
      <c r="B32" s="5" t="s">
        <v>17</v>
      </c>
      <c r="C32" s="5" t="s">
        <v>55</v>
      </c>
      <c r="D32" s="5" t="s">
        <v>343</v>
      </c>
      <c r="E32" s="5" t="s">
        <v>422</v>
      </c>
      <c r="F32" s="5" t="s">
        <v>423</v>
      </c>
      <c r="G32" s="5" t="s">
        <v>18</v>
      </c>
      <c r="H32" s="5" t="s">
        <v>77</v>
      </c>
      <c r="I32" s="5" t="s">
        <v>159</v>
      </c>
      <c r="J32" s="5" t="s">
        <v>424</v>
      </c>
      <c r="K32" s="5" t="s">
        <v>425</v>
      </c>
      <c r="L32" s="5" t="s">
        <v>426</v>
      </c>
      <c r="M32" s="5" t="s">
        <v>427</v>
      </c>
      <c r="N32" s="5" t="s">
        <v>428</v>
      </c>
      <c r="O32" s="5" t="s">
        <v>429</v>
      </c>
      <c r="P32" s="5" t="s">
        <v>430</v>
      </c>
      <c r="Q32" s="5" t="s">
        <v>431</v>
      </c>
      <c r="R32" s="5" t="s">
        <v>432</v>
      </c>
      <c r="S32" s="5" t="s">
        <v>16</v>
      </c>
      <c r="T32" s="5" t="s">
        <v>70</v>
      </c>
      <c r="U32" s="5" t="s">
        <v>433</v>
      </c>
      <c r="V32" s="5" t="s">
        <v>72</v>
      </c>
      <c r="W32" s="5"/>
    </row>
    <row r="33" spans="1:23" ht="21" customHeight="1">
      <c r="A33" s="5" t="s">
        <v>434</v>
      </c>
      <c r="B33" s="5" t="s">
        <v>17</v>
      </c>
      <c r="C33" s="5" t="s">
        <v>55</v>
      </c>
      <c r="D33" s="5" t="s">
        <v>343</v>
      </c>
      <c r="E33" s="5" t="s">
        <v>435</v>
      </c>
      <c r="F33" s="5" t="s">
        <v>436</v>
      </c>
      <c r="G33" s="5" t="s">
        <v>20</v>
      </c>
      <c r="H33" s="5" t="s">
        <v>59</v>
      </c>
      <c r="I33" s="5" t="s">
        <v>437</v>
      </c>
      <c r="J33" s="5" t="s">
        <v>438</v>
      </c>
      <c r="K33" s="5" t="s">
        <v>439</v>
      </c>
      <c r="L33" s="5" t="s">
        <v>440</v>
      </c>
      <c r="M33" s="5" t="s">
        <v>441</v>
      </c>
      <c r="N33" s="5" t="s">
        <v>442</v>
      </c>
      <c r="O33" s="5" t="s">
        <v>443</v>
      </c>
      <c r="P33" s="5" t="s">
        <v>444</v>
      </c>
      <c r="Q33" s="5" t="s">
        <v>445</v>
      </c>
      <c r="R33" s="5" t="s">
        <v>446</v>
      </c>
      <c r="S33" s="5" t="s">
        <v>16</v>
      </c>
      <c r="T33" s="5" t="s">
        <v>70</v>
      </c>
      <c r="U33" s="5" t="s">
        <v>447</v>
      </c>
      <c r="V33" s="5" t="s">
        <v>72</v>
      </c>
      <c r="W33" s="5"/>
    </row>
    <row r="34" spans="1:23" ht="21" customHeight="1">
      <c r="A34" s="5" t="s">
        <v>448</v>
      </c>
      <c r="B34" s="5" t="s">
        <v>17</v>
      </c>
      <c r="C34" s="5" t="s">
        <v>55</v>
      </c>
      <c r="D34" s="5" t="s">
        <v>449</v>
      </c>
      <c r="E34" s="5" t="s">
        <v>450</v>
      </c>
      <c r="F34" s="5" t="s">
        <v>451</v>
      </c>
      <c r="G34" s="5" t="s">
        <v>16</v>
      </c>
      <c r="H34" s="5" t="s">
        <v>77</v>
      </c>
      <c r="I34" s="5" t="s">
        <v>159</v>
      </c>
      <c r="J34" s="5" t="s">
        <v>452</v>
      </c>
      <c r="K34" s="5" t="s">
        <v>453</v>
      </c>
      <c r="L34" s="5" t="s">
        <v>454</v>
      </c>
      <c r="M34" s="5" t="s">
        <v>455</v>
      </c>
      <c r="N34" s="5" t="s">
        <v>456</v>
      </c>
      <c r="O34" s="5" t="s">
        <v>457</v>
      </c>
      <c r="P34" s="5" t="s">
        <v>371</v>
      </c>
      <c r="Q34" s="5" t="s">
        <v>458</v>
      </c>
      <c r="R34" s="5" t="s">
        <v>100</v>
      </c>
      <c r="S34" s="5" t="s">
        <v>14</v>
      </c>
      <c r="T34" s="5" t="s">
        <v>70</v>
      </c>
      <c r="U34" s="5" t="s">
        <v>459</v>
      </c>
      <c r="V34" s="5" t="s">
        <v>72</v>
      </c>
      <c r="W34" s="5"/>
    </row>
    <row r="35" spans="1:23" ht="21" customHeight="1">
      <c r="A35" s="5" t="s">
        <v>460</v>
      </c>
      <c r="B35" s="5" t="s">
        <v>17</v>
      </c>
      <c r="C35" s="5" t="s">
        <v>55</v>
      </c>
      <c r="D35" s="5" t="s">
        <v>461</v>
      </c>
      <c r="E35" s="5" t="s">
        <v>462</v>
      </c>
      <c r="F35" s="5" t="s">
        <v>463</v>
      </c>
      <c r="G35" s="5" t="s">
        <v>16</v>
      </c>
      <c r="H35" s="5" t="s">
        <v>77</v>
      </c>
      <c r="I35" s="5" t="s">
        <v>159</v>
      </c>
      <c r="J35" s="5" t="s">
        <v>464</v>
      </c>
      <c r="K35" s="5" t="s">
        <v>465</v>
      </c>
      <c r="L35" s="5" t="s">
        <v>466</v>
      </c>
      <c r="M35" s="5" t="s">
        <v>467</v>
      </c>
      <c r="N35" s="5" t="s">
        <v>468</v>
      </c>
      <c r="O35" s="5" t="s">
        <v>469</v>
      </c>
      <c r="P35" s="5" t="s">
        <v>470</v>
      </c>
      <c r="Q35" s="5" t="s">
        <v>471</v>
      </c>
      <c r="R35" s="5" t="s">
        <v>100</v>
      </c>
      <c r="S35" s="5" t="s">
        <v>14</v>
      </c>
      <c r="T35" s="5" t="s">
        <v>70</v>
      </c>
      <c r="U35" s="5" t="s">
        <v>472</v>
      </c>
      <c r="V35" s="5" t="s">
        <v>72</v>
      </c>
      <c r="W35" s="5"/>
    </row>
    <row r="36" spans="1:23" ht="21" customHeight="1">
      <c r="A36" s="5" t="s">
        <v>473</v>
      </c>
      <c r="B36" s="5" t="s">
        <v>17</v>
      </c>
      <c r="C36" s="5" t="s">
        <v>55</v>
      </c>
      <c r="D36" s="5" t="s">
        <v>461</v>
      </c>
      <c r="E36" s="5" t="s">
        <v>474</v>
      </c>
      <c r="F36" s="5" t="s">
        <v>475</v>
      </c>
      <c r="G36" s="5" t="s">
        <v>16</v>
      </c>
      <c r="H36" s="5" t="s">
        <v>77</v>
      </c>
      <c r="I36" s="5" t="s">
        <v>159</v>
      </c>
      <c r="J36" s="5" t="s">
        <v>476</v>
      </c>
      <c r="K36" s="5" t="s">
        <v>477</v>
      </c>
      <c r="L36" s="5" t="s">
        <v>478</v>
      </c>
      <c r="M36" s="5" t="s">
        <v>479</v>
      </c>
      <c r="N36" s="5" t="s">
        <v>480</v>
      </c>
      <c r="O36" s="5" t="s">
        <v>481</v>
      </c>
      <c r="P36" s="5" t="s">
        <v>308</v>
      </c>
      <c r="Q36" s="5" t="s">
        <v>482</v>
      </c>
      <c r="R36" s="5" t="s">
        <v>100</v>
      </c>
      <c r="S36" s="5" t="s">
        <v>14</v>
      </c>
      <c r="T36" s="5" t="s">
        <v>70</v>
      </c>
      <c r="U36" s="5" t="s">
        <v>483</v>
      </c>
      <c r="V36" s="5" t="s">
        <v>72</v>
      </c>
      <c r="W36" s="5"/>
    </row>
    <row r="37" spans="1:23" ht="21" customHeight="1">
      <c r="A37" s="5" t="s">
        <v>484</v>
      </c>
      <c r="B37" s="5" t="s">
        <v>17</v>
      </c>
      <c r="C37" s="5" t="s">
        <v>55</v>
      </c>
      <c r="D37" s="5" t="s">
        <v>461</v>
      </c>
      <c r="E37" s="5" t="s">
        <v>485</v>
      </c>
      <c r="F37" s="5" t="s">
        <v>486</v>
      </c>
      <c r="G37" s="5" t="s">
        <v>18</v>
      </c>
      <c r="H37" s="5" t="s">
        <v>59</v>
      </c>
      <c r="I37" s="5" t="s">
        <v>437</v>
      </c>
      <c r="J37" s="5" t="s">
        <v>487</v>
      </c>
      <c r="K37" s="5" t="s">
        <v>488</v>
      </c>
      <c r="L37" s="5" t="s">
        <v>489</v>
      </c>
      <c r="M37" s="5" t="s">
        <v>490</v>
      </c>
      <c r="N37" s="5" t="s">
        <v>491</v>
      </c>
      <c r="O37" s="5" t="s">
        <v>492</v>
      </c>
      <c r="P37" s="5" t="s">
        <v>493</v>
      </c>
      <c r="Q37" s="5" t="s">
        <v>494</v>
      </c>
      <c r="R37" s="5" t="s">
        <v>495</v>
      </c>
      <c r="S37" s="5" t="s">
        <v>14</v>
      </c>
      <c r="T37" s="5" t="s">
        <v>70</v>
      </c>
      <c r="U37" s="5" t="s">
        <v>496</v>
      </c>
      <c r="V37" s="5" t="s">
        <v>72</v>
      </c>
      <c r="W37" s="5"/>
    </row>
    <row r="38" spans="1:23" ht="21" customHeight="1">
      <c r="A38" s="5" t="s">
        <v>497</v>
      </c>
      <c r="B38" s="5" t="s">
        <v>17</v>
      </c>
      <c r="C38" s="5" t="s">
        <v>55</v>
      </c>
      <c r="D38" s="5" t="s">
        <v>498</v>
      </c>
      <c r="E38" s="5" t="s">
        <v>499</v>
      </c>
      <c r="F38" s="5" t="s">
        <v>500</v>
      </c>
      <c r="G38" s="5" t="s">
        <v>18</v>
      </c>
      <c r="H38" s="5" t="s">
        <v>77</v>
      </c>
      <c r="I38" s="5" t="s">
        <v>159</v>
      </c>
      <c r="J38" s="5" t="s">
        <v>501</v>
      </c>
      <c r="K38" s="5" t="s">
        <v>502</v>
      </c>
      <c r="L38" s="5" t="s">
        <v>503</v>
      </c>
      <c r="M38" s="5" t="s">
        <v>504</v>
      </c>
      <c r="N38" s="5" t="s">
        <v>505</v>
      </c>
      <c r="O38" s="5" t="s">
        <v>506</v>
      </c>
      <c r="P38" s="5" t="s">
        <v>507</v>
      </c>
      <c r="Q38" s="5" t="s">
        <v>508</v>
      </c>
      <c r="R38" s="5" t="s">
        <v>509</v>
      </c>
      <c r="S38" s="5" t="s">
        <v>14</v>
      </c>
      <c r="T38" s="5" t="s">
        <v>70</v>
      </c>
      <c r="U38" s="5" t="s">
        <v>510</v>
      </c>
      <c r="V38" s="5" t="s">
        <v>72</v>
      </c>
      <c r="W38" s="5"/>
    </row>
    <row r="39" spans="1:23" ht="21" customHeight="1">
      <c r="A39" s="5" t="s">
        <v>511</v>
      </c>
      <c r="B39" s="5" t="s">
        <v>17</v>
      </c>
      <c r="C39" s="5" t="s">
        <v>55</v>
      </c>
      <c r="D39" s="5" t="s">
        <v>498</v>
      </c>
      <c r="E39" s="5" t="s">
        <v>512</v>
      </c>
      <c r="F39" s="5" t="s">
        <v>513</v>
      </c>
      <c r="G39" s="5" t="s">
        <v>20</v>
      </c>
      <c r="H39" s="5" t="s">
        <v>59</v>
      </c>
      <c r="I39" s="5" t="s">
        <v>145</v>
      </c>
      <c r="J39" s="5" t="s">
        <v>514</v>
      </c>
      <c r="K39" s="5" t="s">
        <v>515</v>
      </c>
      <c r="L39" s="5" t="s">
        <v>516</v>
      </c>
      <c r="M39" s="5" t="s">
        <v>517</v>
      </c>
      <c r="N39" s="5" t="s">
        <v>518</v>
      </c>
      <c r="O39" s="5" t="s">
        <v>519</v>
      </c>
      <c r="P39" s="5" t="s">
        <v>343</v>
      </c>
      <c r="Q39" s="5" t="s">
        <v>520</v>
      </c>
      <c r="R39" s="5" t="s">
        <v>521</v>
      </c>
      <c r="S39" s="5" t="s">
        <v>18</v>
      </c>
      <c r="T39" s="5" t="s">
        <v>70</v>
      </c>
      <c r="U39" s="5" t="s">
        <v>522</v>
      </c>
      <c r="V39" s="5" t="s">
        <v>72</v>
      </c>
      <c r="W39" s="5"/>
    </row>
    <row r="40" spans="1:23" ht="21" customHeight="1">
      <c r="A40" s="5" t="s">
        <v>523</v>
      </c>
      <c r="B40" s="5" t="s">
        <v>17</v>
      </c>
      <c r="C40" s="5" t="s">
        <v>55</v>
      </c>
      <c r="D40" s="5" t="s">
        <v>524</v>
      </c>
      <c r="E40" s="5" t="s">
        <v>525</v>
      </c>
      <c r="F40" s="5" t="s">
        <v>526</v>
      </c>
      <c r="G40" s="5" t="s">
        <v>16</v>
      </c>
      <c r="H40" s="5" t="s">
        <v>59</v>
      </c>
      <c r="I40" s="5" t="s">
        <v>527</v>
      </c>
      <c r="J40" s="5" t="s">
        <v>528</v>
      </c>
      <c r="K40" s="5" t="s">
        <v>529</v>
      </c>
      <c r="L40" s="5" t="s">
        <v>530</v>
      </c>
      <c r="M40" s="5" t="s">
        <v>531</v>
      </c>
      <c r="N40" s="5" t="s">
        <v>532</v>
      </c>
      <c r="O40" s="5" t="s">
        <v>533</v>
      </c>
      <c r="P40" s="5" t="s">
        <v>534</v>
      </c>
      <c r="Q40" s="5" t="s">
        <v>535</v>
      </c>
      <c r="R40" s="5" t="s">
        <v>407</v>
      </c>
      <c r="S40" s="5" t="s">
        <v>14</v>
      </c>
      <c r="T40" s="5" t="s">
        <v>70</v>
      </c>
      <c r="U40" s="5" t="s">
        <v>536</v>
      </c>
      <c r="V40" s="5" t="s">
        <v>72</v>
      </c>
      <c r="W40" s="5"/>
    </row>
    <row r="41" spans="1:23" ht="21" customHeight="1">
      <c r="A41" s="5" t="s">
        <v>537</v>
      </c>
      <c r="B41" s="5" t="s">
        <v>17</v>
      </c>
      <c r="C41" s="5" t="s">
        <v>55</v>
      </c>
      <c r="D41" s="5" t="s">
        <v>524</v>
      </c>
      <c r="E41" s="5" t="s">
        <v>538</v>
      </c>
      <c r="F41" s="5" t="s">
        <v>539</v>
      </c>
      <c r="G41" s="5" t="s">
        <v>18</v>
      </c>
      <c r="H41" s="5" t="s">
        <v>59</v>
      </c>
      <c r="I41" s="5" t="s">
        <v>437</v>
      </c>
      <c r="J41" s="5" t="s">
        <v>540</v>
      </c>
      <c r="K41" s="5" t="s">
        <v>541</v>
      </c>
      <c r="L41" s="5" t="s">
        <v>542</v>
      </c>
      <c r="M41" s="5" t="s">
        <v>543</v>
      </c>
      <c r="N41" s="5" t="s">
        <v>544</v>
      </c>
      <c r="O41" s="5" t="s">
        <v>545</v>
      </c>
      <c r="P41" s="5" t="s">
        <v>546</v>
      </c>
      <c r="Q41" s="5" t="s">
        <v>547</v>
      </c>
      <c r="R41" s="5" t="s">
        <v>548</v>
      </c>
      <c r="S41" s="5" t="s">
        <v>16</v>
      </c>
      <c r="T41" s="5" t="s">
        <v>70</v>
      </c>
      <c r="U41" s="5" t="s">
        <v>549</v>
      </c>
      <c r="V41" s="5" t="s">
        <v>72</v>
      </c>
      <c r="W41" s="5"/>
    </row>
    <row r="42" spans="1:23" ht="21" customHeight="1">
      <c r="A42" s="5" t="s">
        <v>550</v>
      </c>
      <c r="B42" s="5" t="s">
        <v>17</v>
      </c>
      <c r="C42" s="5" t="s">
        <v>55</v>
      </c>
      <c r="D42" s="5" t="s">
        <v>551</v>
      </c>
      <c r="E42" s="5" t="s">
        <v>552</v>
      </c>
      <c r="F42" s="5" t="s">
        <v>553</v>
      </c>
      <c r="G42" s="5" t="s">
        <v>16</v>
      </c>
      <c r="H42" s="5" t="s">
        <v>77</v>
      </c>
      <c r="I42" s="5" t="s">
        <v>159</v>
      </c>
      <c r="J42" s="5" t="s">
        <v>554</v>
      </c>
      <c r="K42" s="5" t="s">
        <v>555</v>
      </c>
      <c r="L42" s="5" t="s">
        <v>556</v>
      </c>
      <c r="M42" s="5" t="s">
        <v>557</v>
      </c>
      <c r="N42" s="5" t="s">
        <v>558</v>
      </c>
      <c r="O42" s="5" t="s">
        <v>559</v>
      </c>
      <c r="P42" s="5" t="s">
        <v>560</v>
      </c>
      <c r="Q42" s="5" t="s">
        <v>305</v>
      </c>
      <c r="R42" s="5" t="s">
        <v>407</v>
      </c>
      <c r="S42" s="5" t="s">
        <v>14</v>
      </c>
      <c r="T42" s="5" t="s">
        <v>70</v>
      </c>
      <c r="U42" s="5" t="s">
        <v>561</v>
      </c>
      <c r="V42" s="5" t="s">
        <v>72</v>
      </c>
      <c r="W42" s="5"/>
    </row>
    <row r="43" spans="1:23" ht="21" customHeight="1">
      <c r="A43" s="5" t="s">
        <v>562</v>
      </c>
      <c r="B43" s="5" t="s">
        <v>17</v>
      </c>
      <c r="C43" s="5" t="s">
        <v>55</v>
      </c>
      <c r="D43" s="5" t="s">
        <v>563</v>
      </c>
      <c r="E43" s="5" t="s">
        <v>564</v>
      </c>
      <c r="F43" s="5" t="s">
        <v>565</v>
      </c>
      <c r="G43" s="5" t="s">
        <v>16</v>
      </c>
      <c r="H43" s="5" t="s">
        <v>77</v>
      </c>
      <c r="I43" s="5" t="s">
        <v>145</v>
      </c>
      <c r="J43" s="5" t="s">
        <v>566</v>
      </c>
      <c r="K43" s="5" t="s">
        <v>567</v>
      </c>
      <c r="L43" s="5" t="s">
        <v>568</v>
      </c>
      <c r="M43" s="5" t="s">
        <v>569</v>
      </c>
      <c r="N43" s="5" t="s">
        <v>570</v>
      </c>
      <c r="O43" s="5" t="s">
        <v>571</v>
      </c>
      <c r="P43" s="5" t="s">
        <v>258</v>
      </c>
      <c r="Q43" s="5" t="s">
        <v>572</v>
      </c>
      <c r="R43" s="5" t="s">
        <v>100</v>
      </c>
      <c r="S43" s="5" t="s">
        <v>14</v>
      </c>
      <c r="T43" s="5" t="s">
        <v>70</v>
      </c>
      <c r="U43" s="5" t="s">
        <v>573</v>
      </c>
      <c r="V43" s="5" t="s">
        <v>72</v>
      </c>
      <c r="W43" s="5"/>
    </row>
    <row r="44" spans="1:23" ht="21" customHeight="1">
      <c r="A44" s="5" t="s">
        <v>574</v>
      </c>
      <c r="B44" s="5" t="s">
        <v>17</v>
      </c>
      <c r="C44" s="5" t="s">
        <v>55</v>
      </c>
      <c r="D44" s="5" t="s">
        <v>563</v>
      </c>
      <c r="E44" s="5" t="s">
        <v>575</v>
      </c>
      <c r="F44" s="5" t="s">
        <v>576</v>
      </c>
      <c r="G44" s="5" t="s">
        <v>16</v>
      </c>
      <c r="H44" s="5" t="s">
        <v>77</v>
      </c>
      <c r="I44" s="5" t="s">
        <v>105</v>
      </c>
      <c r="J44" s="5" t="s">
        <v>577</v>
      </c>
      <c r="K44" s="5" t="s">
        <v>578</v>
      </c>
      <c r="L44" s="5" t="s">
        <v>579</v>
      </c>
      <c r="M44" s="5" t="s">
        <v>580</v>
      </c>
      <c r="N44" s="5" t="s">
        <v>581</v>
      </c>
      <c r="O44" s="5" t="s">
        <v>582</v>
      </c>
      <c r="P44" s="5" t="s">
        <v>254</v>
      </c>
      <c r="Q44" s="5" t="s">
        <v>139</v>
      </c>
      <c r="R44" s="5" t="s">
        <v>205</v>
      </c>
      <c r="S44" s="5" t="s">
        <v>16</v>
      </c>
      <c r="T44" s="5" t="s">
        <v>70</v>
      </c>
      <c r="U44" s="5" t="s">
        <v>583</v>
      </c>
      <c r="V44" s="5" t="s">
        <v>72</v>
      </c>
      <c r="W44" s="5"/>
    </row>
    <row r="45" spans="1:23" ht="21" customHeight="1">
      <c r="A45" s="5" t="s">
        <v>584</v>
      </c>
      <c r="B45" s="5" t="s">
        <v>17</v>
      </c>
      <c r="C45" s="5" t="s">
        <v>55</v>
      </c>
      <c r="D45" s="5" t="s">
        <v>563</v>
      </c>
      <c r="E45" s="5" t="s">
        <v>585</v>
      </c>
      <c r="F45" s="5" t="s">
        <v>586</v>
      </c>
      <c r="G45" s="5" t="s">
        <v>16</v>
      </c>
      <c r="H45" s="5" t="s">
        <v>77</v>
      </c>
      <c r="I45" s="5" t="s">
        <v>145</v>
      </c>
      <c r="J45" s="5" t="s">
        <v>587</v>
      </c>
      <c r="K45" s="5" t="s">
        <v>588</v>
      </c>
      <c r="L45" s="5" t="s">
        <v>589</v>
      </c>
      <c r="M45" s="5" t="s">
        <v>590</v>
      </c>
      <c r="N45" s="5" t="s">
        <v>591</v>
      </c>
      <c r="O45" s="5" t="s">
        <v>592</v>
      </c>
      <c r="P45" s="5" t="s">
        <v>254</v>
      </c>
      <c r="Q45" s="5" t="s">
        <v>593</v>
      </c>
      <c r="R45" s="5" t="s">
        <v>205</v>
      </c>
      <c r="S45" s="5" t="s">
        <v>16</v>
      </c>
      <c r="T45" s="5" t="s">
        <v>70</v>
      </c>
      <c r="U45" s="5" t="s">
        <v>594</v>
      </c>
      <c r="V45" s="5" t="s">
        <v>72</v>
      </c>
      <c r="W45" s="5"/>
    </row>
    <row r="46" spans="1:23" ht="21" customHeight="1">
      <c r="A46" s="5" t="s">
        <v>595</v>
      </c>
      <c r="B46" s="5" t="s">
        <v>17</v>
      </c>
      <c r="C46" s="5" t="s">
        <v>55</v>
      </c>
      <c r="D46" s="5" t="s">
        <v>596</v>
      </c>
      <c r="E46" s="5" t="s">
        <v>597</v>
      </c>
      <c r="F46" s="5" t="s">
        <v>598</v>
      </c>
      <c r="G46" s="5" t="s">
        <v>16</v>
      </c>
      <c r="H46" s="5" t="s">
        <v>77</v>
      </c>
      <c r="I46" s="5" t="s">
        <v>599</v>
      </c>
      <c r="J46" s="5" t="s">
        <v>600</v>
      </c>
      <c r="K46" s="5" t="s">
        <v>601</v>
      </c>
      <c r="L46" s="5" t="s">
        <v>602</v>
      </c>
      <c r="M46" s="5" t="s">
        <v>603</v>
      </c>
      <c r="N46" s="5" t="s">
        <v>604</v>
      </c>
      <c r="O46" s="5" t="s">
        <v>605</v>
      </c>
      <c r="P46" s="5" t="s">
        <v>563</v>
      </c>
      <c r="Q46" s="5" t="s">
        <v>606</v>
      </c>
      <c r="R46" s="5" t="s">
        <v>87</v>
      </c>
      <c r="S46" s="5" t="s">
        <v>14</v>
      </c>
      <c r="T46" s="5" t="s">
        <v>70</v>
      </c>
      <c r="U46" s="5" t="s">
        <v>607</v>
      </c>
      <c r="V46" s="5" t="s">
        <v>72</v>
      </c>
      <c r="W46" s="5"/>
    </row>
    <row r="47" spans="1:23" ht="21" customHeight="1">
      <c r="A47" s="5" t="s">
        <v>608</v>
      </c>
      <c r="B47" s="5" t="s">
        <v>17</v>
      </c>
      <c r="C47" s="5" t="s">
        <v>55</v>
      </c>
      <c r="D47" s="5" t="s">
        <v>596</v>
      </c>
      <c r="E47" s="5" t="s">
        <v>609</v>
      </c>
      <c r="F47" s="5" t="s">
        <v>610</v>
      </c>
      <c r="G47" s="5" t="s">
        <v>18</v>
      </c>
      <c r="H47" s="5" t="s">
        <v>77</v>
      </c>
      <c r="I47" s="5" t="s">
        <v>599</v>
      </c>
      <c r="J47" s="5" t="s">
        <v>611</v>
      </c>
      <c r="K47" s="5" t="s">
        <v>612</v>
      </c>
      <c r="L47" s="5" t="s">
        <v>613</v>
      </c>
      <c r="M47" s="5" t="s">
        <v>614</v>
      </c>
      <c r="N47" s="5" t="s">
        <v>615</v>
      </c>
      <c r="O47" s="5" t="s">
        <v>616</v>
      </c>
      <c r="P47" s="5" t="s">
        <v>617</v>
      </c>
      <c r="Q47" s="5" t="s">
        <v>618</v>
      </c>
      <c r="R47" s="5" t="s">
        <v>432</v>
      </c>
      <c r="S47" s="5" t="s">
        <v>16</v>
      </c>
      <c r="T47" s="5" t="s">
        <v>70</v>
      </c>
      <c r="U47" s="5" t="s">
        <v>619</v>
      </c>
      <c r="V47" s="5" t="s">
        <v>72</v>
      </c>
      <c r="W47" s="5"/>
    </row>
    <row r="48" spans="1:23" ht="21" customHeight="1">
      <c r="A48" s="5" t="s">
        <v>620</v>
      </c>
      <c r="B48" s="5" t="s">
        <v>17</v>
      </c>
      <c r="C48" s="5" t="s">
        <v>55</v>
      </c>
      <c r="D48" s="5" t="s">
        <v>596</v>
      </c>
      <c r="E48" s="5" t="s">
        <v>621</v>
      </c>
      <c r="F48" s="5" t="s">
        <v>622</v>
      </c>
      <c r="G48" s="5" t="s">
        <v>20</v>
      </c>
      <c r="H48" s="5" t="s">
        <v>623</v>
      </c>
      <c r="I48" s="5" t="s">
        <v>624</v>
      </c>
      <c r="J48" s="5" t="s">
        <v>625</v>
      </c>
      <c r="K48" s="5" t="s">
        <v>626</v>
      </c>
      <c r="L48" s="5" t="s">
        <v>627</v>
      </c>
      <c r="M48" s="5" t="s">
        <v>628</v>
      </c>
      <c r="N48" s="5" t="s">
        <v>629</v>
      </c>
      <c r="O48" s="5" t="s">
        <v>630</v>
      </c>
      <c r="P48" s="5" t="s">
        <v>631</v>
      </c>
      <c r="Q48" s="5" t="s">
        <v>632</v>
      </c>
      <c r="R48" s="5" t="s">
        <v>633</v>
      </c>
      <c r="S48" s="5" t="s">
        <v>22</v>
      </c>
      <c r="T48" s="5" t="s">
        <v>634</v>
      </c>
      <c r="U48" s="5" t="s">
        <v>635</v>
      </c>
      <c r="V48" s="5" t="s">
        <v>72</v>
      </c>
      <c r="W48" s="5"/>
    </row>
    <row r="49" spans="1:23" ht="21" customHeight="1">
      <c r="A49" s="5" t="s">
        <v>636</v>
      </c>
      <c r="B49" s="5" t="s">
        <v>19</v>
      </c>
      <c r="C49" s="5" t="s">
        <v>637</v>
      </c>
      <c r="D49" s="5" t="s">
        <v>638</v>
      </c>
      <c r="E49" s="5" t="s">
        <v>639</v>
      </c>
      <c r="F49" s="5" t="s">
        <v>640</v>
      </c>
      <c r="G49" s="5" t="s">
        <v>18</v>
      </c>
      <c r="H49" s="5" t="s">
        <v>77</v>
      </c>
      <c r="I49" s="5" t="s">
        <v>599</v>
      </c>
      <c r="J49" s="5" t="s">
        <v>641</v>
      </c>
      <c r="K49" s="5" t="s">
        <v>642</v>
      </c>
      <c r="L49" s="5" t="s">
        <v>643</v>
      </c>
      <c r="M49" s="5" t="s">
        <v>644</v>
      </c>
      <c r="N49" s="5" t="s">
        <v>645</v>
      </c>
      <c r="O49" s="5" t="s">
        <v>646</v>
      </c>
      <c r="P49" s="5" t="s">
        <v>647</v>
      </c>
      <c r="Q49" s="5" t="s">
        <v>648</v>
      </c>
      <c r="R49" s="5" t="s">
        <v>649</v>
      </c>
      <c r="S49" s="5" t="s">
        <v>14</v>
      </c>
      <c r="T49" s="5" t="s">
        <v>70</v>
      </c>
      <c r="U49" s="5" t="s">
        <v>650</v>
      </c>
      <c r="V49" s="5" t="s">
        <v>72</v>
      </c>
      <c r="W49" s="5"/>
    </row>
    <row r="50" spans="1:23" ht="21" customHeight="1">
      <c r="A50" s="5" t="s">
        <v>651</v>
      </c>
      <c r="B50" s="5" t="s">
        <v>19</v>
      </c>
      <c r="C50" s="5" t="s">
        <v>637</v>
      </c>
      <c r="D50" s="5" t="s">
        <v>638</v>
      </c>
      <c r="E50" s="5" t="s">
        <v>652</v>
      </c>
      <c r="F50" s="5" t="s">
        <v>653</v>
      </c>
      <c r="G50" s="5" t="s">
        <v>18</v>
      </c>
      <c r="H50" s="5" t="s">
        <v>77</v>
      </c>
      <c r="I50" s="5" t="s">
        <v>599</v>
      </c>
      <c r="J50" s="5" t="s">
        <v>654</v>
      </c>
      <c r="K50" s="5" t="s">
        <v>655</v>
      </c>
      <c r="L50" s="5" t="s">
        <v>656</v>
      </c>
      <c r="M50" s="5" t="s">
        <v>657</v>
      </c>
      <c r="N50" s="5" t="s">
        <v>658</v>
      </c>
      <c r="O50" s="5" t="s">
        <v>659</v>
      </c>
      <c r="P50" s="5" t="s">
        <v>639</v>
      </c>
      <c r="Q50" s="5" t="s">
        <v>660</v>
      </c>
      <c r="R50" s="5" t="s">
        <v>100</v>
      </c>
      <c r="S50" s="5" t="s">
        <v>14</v>
      </c>
      <c r="T50" s="5" t="s">
        <v>70</v>
      </c>
      <c r="U50" s="5" t="s">
        <v>661</v>
      </c>
      <c r="V50" s="5" t="s">
        <v>72</v>
      </c>
      <c r="W50" s="5"/>
    </row>
    <row r="51" spans="1:23" ht="21" customHeight="1">
      <c r="A51" s="5" t="s">
        <v>662</v>
      </c>
      <c r="B51" s="5" t="s">
        <v>19</v>
      </c>
      <c r="C51" s="5" t="s">
        <v>637</v>
      </c>
      <c r="D51" s="5" t="s">
        <v>638</v>
      </c>
      <c r="E51" s="5" t="s">
        <v>663</v>
      </c>
      <c r="F51" s="5" t="s">
        <v>664</v>
      </c>
      <c r="G51" s="5" t="s">
        <v>20</v>
      </c>
      <c r="H51" s="5" t="s">
        <v>77</v>
      </c>
      <c r="I51" s="5" t="s">
        <v>665</v>
      </c>
      <c r="J51" s="5" t="s">
        <v>666</v>
      </c>
      <c r="K51" s="5" t="s">
        <v>667</v>
      </c>
      <c r="L51" s="5" t="s">
        <v>668</v>
      </c>
      <c r="M51" s="5" t="s">
        <v>669</v>
      </c>
      <c r="N51" s="5" t="s">
        <v>670</v>
      </c>
      <c r="O51" s="5" t="s">
        <v>671</v>
      </c>
      <c r="P51" s="5" t="s">
        <v>652</v>
      </c>
      <c r="Q51" s="5" t="s">
        <v>672</v>
      </c>
      <c r="R51" s="5" t="s">
        <v>673</v>
      </c>
      <c r="S51" s="5" t="s">
        <v>18</v>
      </c>
      <c r="T51" s="5" t="s">
        <v>70</v>
      </c>
      <c r="U51" s="5" t="s">
        <v>674</v>
      </c>
      <c r="V51" s="5" t="s">
        <v>72</v>
      </c>
      <c r="W51" s="5"/>
    </row>
    <row r="52" spans="1:23" ht="21" customHeight="1">
      <c r="A52" s="5" t="s">
        <v>675</v>
      </c>
      <c r="B52" s="5" t="s">
        <v>19</v>
      </c>
      <c r="C52" s="5" t="s">
        <v>637</v>
      </c>
      <c r="D52" s="5" t="s">
        <v>638</v>
      </c>
      <c r="E52" s="5" t="s">
        <v>676</v>
      </c>
      <c r="F52" s="5" t="s">
        <v>677</v>
      </c>
      <c r="G52" s="5" t="s">
        <v>20</v>
      </c>
      <c r="H52" s="5" t="s">
        <v>59</v>
      </c>
      <c r="I52" s="5" t="s">
        <v>437</v>
      </c>
      <c r="J52" s="5" t="s">
        <v>678</v>
      </c>
      <c r="K52" s="5" t="s">
        <v>679</v>
      </c>
      <c r="L52" s="5" t="s">
        <v>680</v>
      </c>
      <c r="M52" s="5" t="s">
        <v>681</v>
      </c>
      <c r="N52" s="5" t="s">
        <v>682</v>
      </c>
      <c r="O52" s="5" t="s">
        <v>683</v>
      </c>
      <c r="P52" s="5" t="s">
        <v>684</v>
      </c>
      <c r="Q52" s="5" t="s">
        <v>685</v>
      </c>
      <c r="R52" s="5" t="s">
        <v>686</v>
      </c>
      <c r="S52" s="5" t="s">
        <v>14</v>
      </c>
      <c r="T52" s="5" t="s">
        <v>687</v>
      </c>
      <c r="U52" s="5" t="s">
        <v>688</v>
      </c>
      <c r="V52" s="5" t="s">
        <v>72</v>
      </c>
      <c r="W52" s="5"/>
    </row>
    <row r="53" spans="1:23" ht="21" customHeight="1">
      <c r="A53" s="5" t="s">
        <v>689</v>
      </c>
      <c r="B53" s="5" t="s">
        <v>19</v>
      </c>
      <c r="C53" s="5" t="s">
        <v>637</v>
      </c>
      <c r="D53" s="5" t="s">
        <v>332</v>
      </c>
      <c r="E53" s="5" t="s">
        <v>690</v>
      </c>
      <c r="F53" s="5" t="s">
        <v>691</v>
      </c>
      <c r="G53" s="5" t="s">
        <v>20</v>
      </c>
      <c r="H53" s="5" t="s">
        <v>692</v>
      </c>
      <c r="I53" s="5" t="s">
        <v>336</v>
      </c>
      <c r="J53" s="5" t="s">
        <v>693</v>
      </c>
      <c r="K53" s="5" t="s">
        <v>694</v>
      </c>
      <c r="L53" s="5" t="s">
        <v>695</v>
      </c>
      <c r="M53" s="5" t="s">
        <v>696</v>
      </c>
      <c r="N53" s="5" t="s">
        <v>697</v>
      </c>
      <c r="O53" s="5" t="s">
        <v>698</v>
      </c>
      <c r="P53" s="5" t="s">
        <v>699</v>
      </c>
      <c r="Q53" s="5" t="s">
        <v>700</v>
      </c>
      <c r="R53" s="5" t="s">
        <v>345</v>
      </c>
      <c r="S53" s="5" t="s">
        <v>22</v>
      </c>
      <c r="T53" s="5" t="s">
        <v>346</v>
      </c>
      <c r="U53" s="5" t="s">
        <v>701</v>
      </c>
      <c r="V53" s="5" t="s">
        <v>72</v>
      </c>
      <c r="W53" s="5"/>
    </row>
    <row r="54" spans="1:23" ht="21" customHeight="1">
      <c r="A54" s="5" t="s">
        <v>702</v>
      </c>
      <c r="B54" s="5" t="s">
        <v>19</v>
      </c>
      <c r="C54" s="5" t="s">
        <v>637</v>
      </c>
      <c r="D54" s="5" t="s">
        <v>703</v>
      </c>
      <c r="E54" s="5" t="s">
        <v>704</v>
      </c>
      <c r="F54" s="5" t="s">
        <v>705</v>
      </c>
      <c r="G54" s="5" t="s">
        <v>16</v>
      </c>
      <c r="H54" s="5" t="s">
        <v>77</v>
      </c>
      <c r="I54" s="5" t="s">
        <v>145</v>
      </c>
      <c r="J54" s="5" t="s">
        <v>706</v>
      </c>
      <c r="K54" s="5" t="s">
        <v>707</v>
      </c>
      <c r="L54" s="5" t="s">
        <v>708</v>
      </c>
      <c r="M54" s="5" t="s">
        <v>709</v>
      </c>
      <c r="N54" s="5" t="s">
        <v>710</v>
      </c>
      <c r="O54" s="5" t="s">
        <v>711</v>
      </c>
      <c r="P54" s="5" t="s">
        <v>712</v>
      </c>
      <c r="Q54" s="5" t="s">
        <v>713</v>
      </c>
      <c r="R54" s="5" t="s">
        <v>714</v>
      </c>
      <c r="S54" s="5" t="s">
        <v>14</v>
      </c>
      <c r="T54" s="5" t="s">
        <v>70</v>
      </c>
      <c r="U54" s="5" t="s">
        <v>715</v>
      </c>
      <c r="V54" s="5" t="s">
        <v>72</v>
      </c>
      <c r="W54" s="5"/>
    </row>
    <row r="55" spans="1:23" ht="21" customHeight="1">
      <c r="A55" s="5" t="s">
        <v>716</v>
      </c>
      <c r="B55" s="5" t="s">
        <v>19</v>
      </c>
      <c r="C55" s="5" t="s">
        <v>637</v>
      </c>
      <c r="D55" s="5" t="s">
        <v>703</v>
      </c>
      <c r="E55" s="5" t="s">
        <v>717</v>
      </c>
      <c r="F55" s="5" t="s">
        <v>718</v>
      </c>
      <c r="G55" s="5" t="s">
        <v>16</v>
      </c>
      <c r="H55" s="5" t="s">
        <v>59</v>
      </c>
      <c r="I55" s="5" t="s">
        <v>159</v>
      </c>
      <c r="J55" s="5" t="s">
        <v>719</v>
      </c>
      <c r="K55" s="5" t="s">
        <v>720</v>
      </c>
      <c r="L55" s="5" t="s">
        <v>721</v>
      </c>
      <c r="M55" s="5" t="s">
        <v>722</v>
      </c>
      <c r="N55" s="5" t="s">
        <v>723</v>
      </c>
      <c r="O55" s="5" t="s">
        <v>724</v>
      </c>
      <c r="P55" s="5" t="s">
        <v>254</v>
      </c>
      <c r="Q55" s="5" t="s">
        <v>255</v>
      </c>
      <c r="R55" s="5" t="s">
        <v>100</v>
      </c>
      <c r="S55" s="5" t="s">
        <v>14</v>
      </c>
      <c r="T55" s="5" t="s">
        <v>70</v>
      </c>
      <c r="U55" s="5" t="s">
        <v>725</v>
      </c>
      <c r="V55" s="5" t="s">
        <v>72</v>
      </c>
      <c r="W55" s="5"/>
    </row>
    <row r="56" spans="1:23" ht="21" customHeight="1">
      <c r="A56" s="5" t="s">
        <v>726</v>
      </c>
      <c r="B56" s="5" t="s">
        <v>19</v>
      </c>
      <c r="C56" s="5" t="s">
        <v>637</v>
      </c>
      <c r="D56" s="5" t="s">
        <v>703</v>
      </c>
      <c r="E56" s="5" t="s">
        <v>727</v>
      </c>
      <c r="F56" s="5" t="s">
        <v>728</v>
      </c>
      <c r="G56" s="5" t="s">
        <v>16</v>
      </c>
      <c r="H56" s="5" t="s">
        <v>77</v>
      </c>
      <c r="I56" s="5" t="s">
        <v>145</v>
      </c>
      <c r="J56" s="5" t="s">
        <v>729</v>
      </c>
      <c r="K56" s="5" t="s">
        <v>730</v>
      </c>
      <c r="L56" s="5" t="s">
        <v>731</v>
      </c>
      <c r="M56" s="5" t="s">
        <v>732</v>
      </c>
      <c r="N56" s="5" t="s">
        <v>733</v>
      </c>
      <c r="O56" s="5" t="s">
        <v>734</v>
      </c>
      <c r="P56" s="5" t="s">
        <v>631</v>
      </c>
      <c r="Q56" s="5" t="s">
        <v>735</v>
      </c>
      <c r="R56" s="5" t="s">
        <v>100</v>
      </c>
      <c r="S56" s="5" t="s">
        <v>14</v>
      </c>
      <c r="T56" s="5" t="s">
        <v>70</v>
      </c>
      <c r="U56" s="5" t="s">
        <v>736</v>
      </c>
      <c r="V56" s="5" t="s">
        <v>72</v>
      </c>
      <c r="W56" s="5"/>
    </row>
    <row r="57" spans="1:23" ht="21" customHeight="1">
      <c r="A57" s="5" t="s">
        <v>737</v>
      </c>
      <c r="B57" s="5" t="s">
        <v>19</v>
      </c>
      <c r="C57" s="5" t="s">
        <v>637</v>
      </c>
      <c r="D57" s="5" t="s">
        <v>703</v>
      </c>
      <c r="E57" s="5" t="s">
        <v>738</v>
      </c>
      <c r="F57" s="5" t="s">
        <v>739</v>
      </c>
      <c r="G57" s="5" t="s">
        <v>16</v>
      </c>
      <c r="H57" s="5" t="s">
        <v>77</v>
      </c>
      <c r="I57" s="5" t="s">
        <v>105</v>
      </c>
      <c r="J57" s="5" t="s">
        <v>740</v>
      </c>
      <c r="K57" s="5" t="s">
        <v>741</v>
      </c>
      <c r="L57" s="5" t="s">
        <v>742</v>
      </c>
      <c r="M57" s="5" t="s">
        <v>743</v>
      </c>
      <c r="N57" s="5" t="s">
        <v>744</v>
      </c>
      <c r="O57" s="5" t="s">
        <v>745</v>
      </c>
      <c r="P57" s="5" t="s">
        <v>746</v>
      </c>
      <c r="Q57" s="5" t="s">
        <v>747</v>
      </c>
      <c r="R57" s="5" t="s">
        <v>205</v>
      </c>
      <c r="S57" s="5" t="s">
        <v>16</v>
      </c>
      <c r="T57" s="5" t="s">
        <v>70</v>
      </c>
      <c r="U57" s="5" t="s">
        <v>748</v>
      </c>
      <c r="V57" s="5" t="s">
        <v>72</v>
      </c>
      <c r="W57" s="5"/>
    </row>
    <row r="58" spans="1:23" ht="21" customHeight="1">
      <c r="A58" s="5" t="s">
        <v>749</v>
      </c>
      <c r="B58" s="5" t="s">
        <v>19</v>
      </c>
      <c r="C58" s="5" t="s">
        <v>637</v>
      </c>
      <c r="D58" s="5" t="s">
        <v>750</v>
      </c>
      <c r="E58" s="5" t="s">
        <v>751</v>
      </c>
      <c r="F58" s="5" t="s">
        <v>752</v>
      </c>
      <c r="G58" s="5" t="s">
        <v>18</v>
      </c>
      <c r="H58" s="5" t="s">
        <v>77</v>
      </c>
      <c r="I58" s="5" t="s">
        <v>159</v>
      </c>
      <c r="J58" s="5" t="s">
        <v>753</v>
      </c>
      <c r="K58" s="5" t="s">
        <v>754</v>
      </c>
      <c r="L58" s="5" t="s">
        <v>755</v>
      </c>
      <c r="M58" s="5" t="s">
        <v>756</v>
      </c>
      <c r="N58" s="5" t="s">
        <v>757</v>
      </c>
      <c r="O58" s="5" t="s">
        <v>758</v>
      </c>
      <c r="P58" s="5" t="s">
        <v>759</v>
      </c>
      <c r="Q58" s="5" t="s">
        <v>760</v>
      </c>
      <c r="R58" s="5" t="s">
        <v>100</v>
      </c>
      <c r="S58" s="5" t="s">
        <v>14</v>
      </c>
      <c r="T58" s="5" t="s">
        <v>70</v>
      </c>
      <c r="U58" s="5" t="s">
        <v>761</v>
      </c>
      <c r="V58" s="5" t="s">
        <v>72</v>
      </c>
      <c r="W58" s="5"/>
    </row>
    <row r="59" spans="1:23" ht="21" customHeight="1">
      <c r="A59" s="5" t="s">
        <v>762</v>
      </c>
      <c r="B59" s="5" t="s">
        <v>19</v>
      </c>
      <c r="C59" s="5" t="s">
        <v>637</v>
      </c>
      <c r="D59" s="5" t="s">
        <v>750</v>
      </c>
      <c r="E59" s="5" t="s">
        <v>763</v>
      </c>
      <c r="F59" s="5" t="s">
        <v>764</v>
      </c>
      <c r="G59" s="5" t="s">
        <v>18</v>
      </c>
      <c r="H59" s="5" t="s">
        <v>77</v>
      </c>
      <c r="I59" s="5" t="s">
        <v>159</v>
      </c>
      <c r="J59" s="5" t="s">
        <v>765</v>
      </c>
      <c r="K59" s="5" t="s">
        <v>766</v>
      </c>
      <c r="L59" s="5" t="s">
        <v>767</v>
      </c>
      <c r="M59" s="5" t="s">
        <v>768</v>
      </c>
      <c r="N59" s="5" t="s">
        <v>769</v>
      </c>
      <c r="O59" s="5" t="s">
        <v>770</v>
      </c>
      <c r="P59" s="5" t="s">
        <v>90</v>
      </c>
      <c r="Q59" s="5" t="s">
        <v>771</v>
      </c>
      <c r="R59" s="5" t="s">
        <v>100</v>
      </c>
      <c r="S59" s="5" t="s">
        <v>14</v>
      </c>
      <c r="T59" s="5" t="s">
        <v>70</v>
      </c>
      <c r="U59" s="5" t="s">
        <v>772</v>
      </c>
      <c r="V59" s="5" t="s">
        <v>72</v>
      </c>
      <c r="W59" s="5"/>
    </row>
    <row r="60" spans="1:23" ht="21" customHeight="1">
      <c r="A60" s="5" t="s">
        <v>773</v>
      </c>
      <c r="B60" s="5" t="s">
        <v>19</v>
      </c>
      <c r="C60" s="5" t="s">
        <v>637</v>
      </c>
      <c r="D60" s="5" t="s">
        <v>750</v>
      </c>
      <c r="E60" s="5" t="s">
        <v>774</v>
      </c>
      <c r="F60" s="5" t="s">
        <v>775</v>
      </c>
      <c r="G60" s="5" t="s">
        <v>18</v>
      </c>
      <c r="H60" s="5" t="s">
        <v>77</v>
      </c>
      <c r="I60" s="5" t="s">
        <v>159</v>
      </c>
      <c r="J60" s="5" t="s">
        <v>776</v>
      </c>
      <c r="K60" s="5" t="s">
        <v>777</v>
      </c>
      <c r="L60" s="5" t="s">
        <v>778</v>
      </c>
      <c r="M60" s="5" t="s">
        <v>779</v>
      </c>
      <c r="N60" s="5" t="s">
        <v>780</v>
      </c>
      <c r="O60" s="5" t="s">
        <v>781</v>
      </c>
      <c r="P60" s="5" t="s">
        <v>782</v>
      </c>
      <c r="Q60" s="5" t="s">
        <v>783</v>
      </c>
      <c r="R60" s="5" t="s">
        <v>100</v>
      </c>
      <c r="S60" s="5" t="s">
        <v>14</v>
      </c>
      <c r="T60" s="5" t="s">
        <v>70</v>
      </c>
      <c r="U60" s="5" t="s">
        <v>784</v>
      </c>
      <c r="V60" s="5" t="s">
        <v>72</v>
      </c>
      <c r="W60" s="5"/>
    </row>
    <row r="61" spans="1:23" ht="21" customHeight="1">
      <c r="A61" s="5" t="s">
        <v>785</v>
      </c>
      <c r="B61" s="5" t="s">
        <v>19</v>
      </c>
      <c r="C61" s="5" t="s">
        <v>637</v>
      </c>
      <c r="D61" s="5" t="s">
        <v>750</v>
      </c>
      <c r="E61" s="5" t="s">
        <v>786</v>
      </c>
      <c r="F61" s="5" t="s">
        <v>787</v>
      </c>
      <c r="G61" s="5" t="s">
        <v>18</v>
      </c>
      <c r="H61" s="5" t="s">
        <v>77</v>
      </c>
      <c r="I61" s="5" t="s">
        <v>159</v>
      </c>
      <c r="J61" s="5" t="s">
        <v>788</v>
      </c>
      <c r="K61" s="5" t="s">
        <v>789</v>
      </c>
      <c r="L61" s="5" t="s">
        <v>790</v>
      </c>
      <c r="M61" s="5" t="s">
        <v>791</v>
      </c>
      <c r="N61" s="5" t="s">
        <v>792</v>
      </c>
      <c r="O61" s="5" t="s">
        <v>793</v>
      </c>
      <c r="P61" s="5" t="s">
        <v>794</v>
      </c>
      <c r="Q61" s="5" t="s">
        <v>795</v>
      </c>
      <c r="R61" s="5" t="s">
        <v>548</v>
      </c>
      <c r="S61" s="5" t="s">
        <v>16</v>
      </c>
      <c r="T61" s="5" t="s">
        <v>796</v>
      </c>
      <c r="U61" s="5" t="s">
        <v>797</v>
      </c>
      <c r="V61" s="5" t="s">
        <v>72</v>
      </c>
      <c r="W61" s="5"/>
    </row>
    <row r="62" spans="1:23" ht="21" customHeight="1">
      <c r="A62" s="5" t="s">
        <v>798</v>
      </c>
      <c r="B62" s="5" t="s">
        <v>19</v>
      </c>
      <c r="C62" s="5" t="s">
        <v>637</v>
      </c>
      <c r="D62" s="5" t="s">
        <v>750</v>
      </c>
      <c r="E62" s="5" t="s">
        <v>799</v>
      </c>
      <c r="F62" s="5" t="s">
        <v>800</v>
      </c>
      <c r="G62" s="5" t="s">
        <v>18</v>
      </c>
      <c r="H62" s="5" t="s">
        <v>77</v>
      </c>
      <c r="I62" s="5" t="s">
        <v>159</v>
      </c>
      <c r="J62" s="5" t="s">
        <v>801</v>
      </c>
      <c r="K62" s="5" t="s">
        <v>802</v>
      </c>
      <c r="L62" s="5" t="s">
        <v>803</v>
      </c>
      <c r="M62" s="5" t="s">
        <v>804</v>
      </c>
      <c r="N62" s="5" t="s">
        <v>805</v>
      </c>
      <c r="O62" s="5" t="s">
        <v>806</v>
      </c>
      <c r="P62" s="5" t="s">
        <v>807</v>
      </c>
      <c r="Q62" s="5" t="s">
        <v>808</v>
      </c>
      <c r="R62" s="5" t="s">
        <v>809</v>
      </c>
      <c r="S62" s="5" t="s">
        <v>18</v>
      </c>
      <c r="T62" s="5" t="s">
        <v>70</v>
      </c>
      <c r="U62" s="5" t="s">
        <v>810</v>
      </c>
      <c r="V62" s="5" t="s">
        <v>72</v>
      </c>
      <c r="W62" s="5"/>
    </row>
    <row r="63" spans="1:23" ht="21" customHeight="1">
      <c r="A63" s="5" t="s">
        <v>811</v>
      </c>
      <c r="B63" s="5" t="s">
        <v>19</v>
      </c>
      <c r="C63" s="5" t="s">
        <v>637</v>
      </c>
      <c r="D63" s="5" t="s">
        <v>750</v>
      </c>
      <c r="E63" s="5" t="s">
        <v>812</v>
      </c>
      <c r="F63" s="5" t="s">
        <v>813</v>
      </c>
      <c r="G63" s="5" t="s">
        <v>20</v>
      </c>
      <c r="H63" s="5" t="s">
        <v>77</v>
      </c>
      <c r="I63" s="5" t="s">
        <v>814</v>
      </c>
      <c r="J63" s="5" t="s">
        <v>815</v>
      </c>
      <c r="K63" s="5" t="s">
        <v>816</v>
      </c>
      <c r="L63" s="5" t="s">
        <v>817</v>
      </c>
      <c r="M63" s="5" t="s">
        <v>818</v>
      </c>
      <c r="N63" s="5" t="s">
        <v>819</v>
      </c>
      <c r="O63" s="5" t="s">
        <v>820</v>
      </c>
      <c r="P63" s="5" t="s">
        <v>821</v>
      </c>
      <c r="Q63" s="5" t="s">
        <v>822</v>
      </c>
      <c r="R63" s="5" t="s">
        <v>823</v>
      </c>
      <c r="S63" s="5" t="s">
        <v>18</v>
      </c>
      <c r="T63" s="5" t="s">
        <v>70</v>
      </c>
      <c r="U63" s="5" t="s">
        <v>824</v>
      </c>
      <c r="V63" s="5" t="s">
        <v>72</v>
      </c>
      <c r="W63" s="5"/>
    </row>
    <row r="64" spans="1:23" ht="21" customHeight="1">
      <c r="A64" s="5" t="s">
        <v>825</v>
      </c>
      <c r="B64" s="5" t="s">
        <v>19</v>
      </c>
      <c r="C64" s="5" t="s">
        <v>637</v>
      </c>
      <c r="D64" s="5" t="s">
        <v>826</v>
      </c>
      <c r="E64" s="5" t="s">
        <v>827</v>
      </c>
      <c r="F64" s="5" t="s">
        <v>828</v>
      </c>
      <c r="G64" s="5" t="s">
        <v>16</v>
      </c>
      <c r="H64" s="5" t="s">
        <v>77</v>
      </c>
      <c r="I64" s="5" t="s">
        <v>145</v>
      </c>
      <c r="J64" s="5" t="s">
        <v>829</v>
      </c>
      <c r="K64" s="5" t="s">
        <v>830</v>
      </c>
      <c r="L64" s="5" t="s">
        <v>831</v>
      </c>
      <c r="M64" s="5" t="s">
        <v>832</v>
      </c>
      <c r="N64" s="5" t="s">
        <v>833</v>
      </c>
      <c r="O64" s="5" t="s">
        <v>834</v>
      </c>
      <c r="P64" s="5" t="s">
        <v>835</v>
      </c>
      <c r="Q64" s="5" t="s">
        <v>836</v>
      </c>
      <c r="R64" s="5" t="s">
        <v>205</v>
      </c>
      <c r="S64" s="5" t="s">
        <v>16</v>
      </c>
      <c r="T64" s="5" t="s">
        <v>70</v>
      </c>
      <c r="U64" s="5" t="s">
        <v>837</v>
      </c>
      <c r="V64" s="5" t="s">
        <v>72</v>
      </c>
      <c r="W64" s="5"/>
    </row>
    <row r="65" spans="1:23" ht="21" customHeight="1">
      <c r="A65" s="5" t="s">
        <v>838</v>
      </c>
      <c r="B65" s="5" t="s">
        <v>19</v>
      </c>
      <c r="C65" s="5" t="s">
        <v>637</v>
      </c>
      <c r="D65" s="5" t="s">
        <v>826</v>
      </c>
      <c r="E65" s="5" t="s">
        <v>839</v>
      </c>
      <c r="F65" s="5" t="s">
        <v>840</v>
      </c>
      <c r="G65" s="5" t="s">
        <v>16</v>
      </c>
      <c r="H65" s="5" t="s">
        <v>77</v>
      </c>
      <c r="I65" s="5" t="s">
        <v>159</v>
      </c>
      <c r="J65" s="5" t="s">
        <v>841</v>
      </c>
      <c r="K65" s="5" t="s">
        <v>842</v>
      </c>
      <c r="L65" s="5" t="s">
        <v>843</v>
      </c>
      <c r="M65" s="5" t="s">
        <v>844</v>
      </c>
      <c r="N65" s="5" t="s">
        <v>845</v>
      </c>
      <c r="O65" s="5" t="s">
        <v>846</v>
      </c>
      <c r="P65" s="5" t="s">
        <v>847</v>
      </c>
      <c r="Q65" s="5" t="s">
        <v>848</v>
      </c>
      <c r="R65" s="5" t="s">
        <v>69</v>
      </c>
      <c r="S65" s="5" t="s">
        <v>18</v>
      </c>
      <c r="T65" s="5" t="s">
        <v>70</v>
      </c>
      <c r="U65" s="5" t="s">
        <v>849</v>
      </c>
      <c r="V65" s="5" t="s">
        <v>72</v>
      </c>
      <c r="W65" s="5"/>
    </row>
    <row r="66" spans="1:23" ht="21" customHeight="1">
      <c r="A66" s="5" t="s">
        <v>850</v>
      </c>
      <c r="B66" s="5" t="s">
        <v>19</v>
      </c>
      <c r="C66" s="5" t="s">
        <v>637</v>
      </c>
      <c r="D66" s="5" t="s">
        <v>851</v>
      </c>
      <c r="E66" s="5" t="s">
        <v>852</v>
      </c>
      <c r="F66" s="5" t="s">
        <v>853</v>
      </c>
      <c r="G66" s="5" t="s">
        <v>18</v>
      </c>
      <c r="H66" s="5" t="s">
        <v>77</v>
      </c>
      <c r="I66" s="5" t="s">
        <v>854</v>
      </c>
      <c r="J66" s="5" t="s">
        <v>855</v>
      </c>
      <c r="K66" s="5" t="s">
        <v>856</v>
      </c>
      <c r="L66" s="5" t="s">
        <v>857</v>
      </c>
      <c r="M66" s="5" t="s">
        <v>858</v>
      </c>
      <c r="N66" s="5" t="s">
        <v>859</v>
      </c>
      <c r="O66" s="5" t="s">
        <v>860</v>
      </c>
      <c r="P66" s="5" t="s">
        <v>861</v>
      </c>
      <c r="Q66" s="5" t="s">
        <v>862</v>
      </c>
      <c r="R66" s="5" t="s">
        <v>863</v>
      </c>
      <c r="S66" s="5" t="s">
        <v>20</v>
      </c>
      <c r="T66" s="5" t="s">
        <v>864</v>
      </c>
      <c r="U66" s="5" t="s">
        <v>865</v>
      </c>
      <c r="V66" s="5" t="s">
        <v>72</v>
      </c>
      <c r="W66" s="5"/>
    </row>
    <row r="67" spans="1:23" ht="21" customHeight="1">
      <c r="A67" s="5" t="s">
        <v>866</v>
      </c>
      <c r="B67" s="5" t="s">
        <v>19</v>
      </c>
      <c r="C67" s="5" t="s">
        <v>637</v>
      </c>
      <c r="D67" s="5" t="s">
        <v>851</v>
      </c>
      <c r="E67" s="5" t="s">
        <v>867</v>
      </c>
      <c r="F67" s="5" t="s">
        <v>868</v>
      </c>
      <c r="G67" s="5" t="s">
        <v>20</v>
      </c>
      <c r="H67" s="5" t="s">
        <v>77</v>
      </c>
      <c r="I67" s="5" t="s">
        <v>105</v>
      </c>
      <c r="J67" s="5" t="s">
        <v>869</v>
      </c>
      <c r="K67" s="5" t="s">
        <v>870</v>
      </c>
      <c r="L67" s="5" t="s">
        <v>871</v>
      </c>
      <c r="M67" s="5" t="s">
        <v>872</v>
      </c>
      <c r="N67" s="5" t="s">
        <v>873</v>
      </c>
      <c r="O67" s="5" t="s">
        <v>874</v>
      </c>
      <c r="P67" s="5" t="s">
        <v>851</v>
      </c>
      <c r="Q67" s="5" t="s">
        <v>875</v>
      </c>
      <c r="R67" s="5" t="s">
        <v>863</v>
      </c>
      <c r="S67" s="5" t="s">
        <v>20</v>
      </c>
      <c r="T67" s="5" t="s">
        <v>864</v>
      </c>
      <c r="U67" s="5" t="s">
        <v>876</v>
      </c>
      <c r="V67" s="5" t="s">
        <v>72</v>
      </c>
      <c r="W67" s="5"/>
    </row>
    <row r="68" spans="1:23" ht="21" customHeight="1">
      <c r="A68" s="5" t="s">
        <v>877</v>
      </c>
      <c r="B68" s="5" t="s">
        <v>19</v>
      </c>
      <c r="C68" s="5" t="s">
        <v>637</v>
      </c>
      <c r="D68" s="5" t="s">
        <v>878</v>
      </c>
      <c r="E68" s="5" t="s">
        <v>879</v>
      </c>
      <c r="F68" s="5" t="s">
        <v>880</v>
      </c>
      <c r="G68" s="5" t="s">
        <v>16</v>
      </c>
      <c r="H68" s="5" t="s">
        <v>77</v>
      </c>
      <c r="I68" s="5" t="s">
        <v>159</v>
      </c>
      <c r="J68" s="5" t="s">
        <v>881</v>
      </c>
      <c r="K68" s="5" t="s">
        <v>882</v>
      </c>
      <c r="L68" s="5" t="s">
        <v>883</v>
      </c>
      <c r="M68" s="5" t="s">
        <v>884</v>
      </c>
      <c r="N68" s="5" t="s">
        <v>885</v>
      </c>
      <c r="O68" s="5" t="s">
        <v>886</v>
      </c>
      <c r="P68" s="5" t="s">
        <v>156</v>
      </c>
      <c r="Q68" s="5" t="s">
        <v>305</v>
      </c>
      <c r="R68" s="5" t="s">
        <v>407</v>
      </c>
      <c r="S68" s="5" t="s">
        <v>14</v>
      </c>
      <c r="T68" s="5" t="s">
        <v>70</v>
      </c>
      <c r="U68" s="5" t="s">
        <v>887</v>
      </c>
      <c r="V68" s="5" t="s">
        <v>72</v>
      </c>
      <c r="W68" s="5"/>
    </row>
    <row r="69" spans="1:23" ht="21" customHeight="1">
      <c r="A69" s="5" t="s">
        <v>888</v>
      </c>
      <c r="B69" s="5" t="s">
        <v>19</v>
      </c>
      <c r="C69" s="5" t="s">
        <v>637</v>
      </c>
      <c r="D69" s="5" t="s">
        <v>878</v>
      </c>
      <c r="E69" s="5" t="s">
        <v>889</v>
      </c>
      <c r="F69" s="5" t="s">
        <v>890</v>
      </c>
      <c r="G69" s="5" t="s">
        <v>16</v>
      </c>
      <c r="H69" s="5" t="s">
        <v>77</v>
      </c>
      <c r="I69" s="5" t="s">
        <v>159</v>
      </c>
      <c r="J69" s="5" t="s">
        <v>891</v>
      </c>
      <c r="K69" s="5" t="s">
        <v>892</v>
      </c>
      <c r="L69" s="5" t="s">
        <v>893</v>
      </c>
      <c r="M69" s="5" t="s">
        <v>894</v>
      </c>
      <c r="N69" s="5" t="s">
        <v>895</v>
      </c>
      <c r="O69" s="5" t="s">
        <v>896</v>
      </c>
      <c r="P69" s="5" t="s">
        <v>897</v>
      </c>
      <c r="Q69" s="5" t="s">
        <v>305</v>
      </c>
      <c r="R69" s="5" t="s">
        <v>407</v>
      </c>
      <c r="S69" s="5" t="s">
        <v>14</v>
      </c>
      <c r="T69" s="5" t="s">
        <v>70</v>
      </c>
      <c r="U69" s="5" t="s">
        <v>898</v>
      </c>
      <c r="V69" s="5" t="s">
        <v>72</v>
      </c>
      <c r="W69" s="5"/>
    </row>
    <row r="70" spans="1:23" ht="21" customHeight="1">
      <c r="A70" s="5" t="s">
        <v>899</v>
      </c>
      <c r="B70" s="5" t="s">
        <v>19</v>
      </c>
      <c r="C70" s="5" t="s">
        <v>637</v>
      </c>
      <c r="D70" s="5" t="s">
        <v>878</v>
      </c>
      <c r="E70" s="5" t="s">
        <v>900</v>
      </c>
      <c r="F70" s="5" t="s">
        <v>901</v>
      </c>
      <c r="G70" s="5" t="s">
        <v>16</v>
      </c>
      <c r="H70" s="5" t="s">
        <v>77</v>
      </c>
      <c r="I70" s="5" t="s">
        <v>159</v>
      </c>
      <c r="J70" s="5" t="s">
        <v>902</v>
      </c>
      <c r="K70" s="5" t="s">
        <v>903</v>
      </c>
      <c r="L70" s="5" t="s">
        <v>904</v>
      </c>
      <c r="M70" s="5" t="s">
        <v>905</v>
      </c>
      <c r="N70" s="5" t="s">
        <v>906</v>
      </c>
      <c r="O70" s="5" t="s">
        <v>907</v>
      </c>
      <c r="P70" s="5" t="s">
        <v>184</v>
      </c>
      <c r="Q70" s="5" t="s">
        <v>760</v>
      </c>
      <c r="R70" s="5" t="s">
        <v>407</v>
      </c>
      <c r="S70" s="5" t="s">
        <v>14</v>
      </c>
      <c r="T70" s="5" t="s">
        <v>70</v>
      </c>
      <c r="U70" s="5" t="s">
        <v>908</v>
      </c>
      <c r="V70" s="5" t="s">
        <v>72</v>
      </c>
      <c r="W70" s="5"/>
    </row>
    <row r="71" spans="1:23" ht="21" customHeight="1">
      <c r="A71" s="5" t="s">
        <v>909</v>
      </c>
      <c r="B71" s="5" t="s">
        <v>19</v>
      </c>
      <c r="C71" s="5" t="s">
        <v>637</v>
      </c>
      <c r="D71" s="5" t="s">
        <v>878</v>
      </c>
      <c r="E71" s="5" t="s">
        <v>910</v>
      </c>
      <c r="F71" s="5" t="s">
        <v>911</v>
      </c>
      <c r="G71" s="5" t="s">
        <v>18</v>
      </c>
      <c r="H71" s="5" t="s">
        <v>77</v>
      </c>
      <c r="I71" s="5" t="s">
        <v>159</v>
      </c>
      <c r="J71" s="5" t="s">
        <v>912</v>
      </c>
      <c r="K71" s="5" t="s">
        <v>913</v>
      </c>
      <c r="L71" s="5" t="s">
        <v>914</v>
      </c>
      <c r="M71" s="5" t="s">
        <v>915</v>
      </c>
      <c r="N71" s="5" t="s">
        <v>916</v>
      </c>
      <c r="O71" s="5" t="s">
        <v>917</v>
      </c>
      <c r="P71" s="5" t="s">
        <v>918</v>
      </c>
      <c r="Q71" s="5" t="s">
        <v>919</v>
      </c>
      <c r="R71" s="5" t="s">
        <v>920</v>
      </c>
      <c r="S71" s="5" t="s">
        <v>18</v>
      </c>
      <c r="T71" s="5" t="s">
        <v>70</v>
      </c>
      <c r="U71" s="5" t="s">
        <v>921</v>
      </c>
      <c r="V71" s="5" t="s">
        <v>72</v>
      </c>
      <c r="W71" s="5"/>
    </row>
    <row r="72" spans="1:23" ht="21" customHeight="1">
      <c r="A72" s="5" t="s">
        <v>922</v>
      </c>
      <c r="B72" s="5" t="s">
        <v>19</v>
      </c>
      <c r="C72" s="5" t="s">
        <v>637</v>
      </c>
      <c r="D72" s="5" t="s">
        <v>878</v>
      </c>
      <c r="E72" s="5" t="s">
        <v>923</v>
      </c>
      <c r="F72" s="5" t="s">
        <v>924</v>
      </c>
      <c r="G72" s="5" t="s">
        <v>18</v>
      </c>
      <c r="H72" s="5" t="s">
        <v>59</v>
      </c>
      <c r="I72" s="5" t="s">
        <v>437</v>
      </c>
      <c r="J72" s="5" t="s">
        <v>925</v>
      </c>
      <c r="K72" s="5" t="s">
        <v>926</v>
      </c>
      <c r="L72" s="5" t="s">
        <v>927</v>
      </c>
      <c r="M72" s="5" t="s">
        <v>928</v>
      </c>
      <c r="N72" s="5" t="s">
        <v>929</v>
      </c>
      <c r="O72" s="5" t="s">
        <v>930</v>
      </c>
      <c r="P72" s="5" t="s">
        <v>931</v>
      </c>
      <c r="Q72" s="5" t="s">
        <v>932</v>
      </c>
      <c r="R72" s="5" t="s">
        <v>205</v>
      </c>
      <c r="S72" s="5" t="s">
        <v>16</v>
      </c>
      <c r="T72" s="5" t="s">
        <v>70</v>
      </c>
      <c r="U72" s="5" t="s">
        <v>933</v>
      </c>
      <c r="V72" s="5" t="s">
        <v>72</v>
      </c>
      <c r="W72" s="5"/>
    </row>
    <row r="73" spans="1:23" ht="21" customHeight="1">
      <c r="A73" s="5" t="s">
        <v>934</v>
      </c>
      <c r="B73" s="5" t="s">
        <v>19</v>
      </c>
      <c r="C73" s="5" t="s">
        <v>637</v>
      </c>
      <c r="D73" s="5" t="s">
        <v>878</v>
      </c>
      <c r="E73" s="5" t="s">
        <v>935</v>
      </c>
      <c r="F73" s="5" t="s">
        <v>936</v>
      </c>
      <c r="G73" s="5" t="s">
        <v>18</v>
      </c>
      <c r="H73" s="5" t="s">
        <v>77</v>
      </c>
      <c r="I73" s="5" t="s">
        <v>159</v>
      </c>
      <c r="J73" s="5" t="s">
        <v>937</v>
      </c>
      <c r="K73" s="5" t="s">
        <v>938</v>
      </c>
      <c r="L73" s="5" t="s">
        <v>939</v>
      </c>
      <c r="M73" s="5" t="s">
        <v>940</v>
      </c>
      <c r="N73" s="5" t="s">
        <v>941</v>
      </c>
      <c r="O73" s="5" t="s">
        <v>942</v>
      </c>
      <c r="P73" s="5" t="s">
        <v>847</v>
      </c>
      <c r="Q73" s="5" t="s">
        <v>243</v>
      </c>
      <c r="R73" s="5" t="s">
        <v>100</v>
      </c>
      <c r="S73" s="5" t="s">
        <v>14</v>
      </c>
      <c r="T73" s="5" t="s">
        <v>70</v>
      </c>
      <c r="U73" s="5" t="s">
        <v>943</v>
      </c>
      <c r="V73" s="5" t="s">
        <v>72</v>
      </c>
      <c r="W73" s="5"/>
    </row>
    <row r="74" spans="1:23" ht="21" customHeight="1">
      <c r="A74" s="5" t="s">
        <v>944</v>
      </c>
      <c r="B74" s="5" t="s">
        <v>19</v>
      </c>
      <c r="C74" s="5" t="s">
        <v>637</v>
      </c>
      <c r="D74" s="5" t="s">
        <v>878</v>
      </c>
      <c r="E74" s="5" t="s">
        <v>945</v>
      </c>
      <c r="F74" s="5" t="s">
        <v>946</v>
      </c>
      <c r="G74" s="5" t="s">
        <v>18</v>
      </c>
      <c r="H74" s="5" t="s">
        <v>77</v>
      </c>
      <c r="I74" s="5" t="s">
        <v>159</v>
      </c>
      <c r="J74" s="5" t="s">
        <v>947</v>
      </c>
      <c r="K74" s="5" t="s">
        <v>948</v>
      </c>
      <c r="L74" s="5" t="s">
        <v>949</v>
      </c>
      <c r="M74" s="5" t="s">
        <v>950</v>
      </c>
      <c r="N74" s="5" t="s">
        <v>951</v>
      </c>
      <c r="O74" s="5" t="s">
        <v>952</v>
      </c>
      <c r="P74" s="5" t="s">
        <v>847</v>
      </c>
      <c r="Q74" s="5" t="s">
        <v>953</v>
      </c>
      <c r="R74" s="5" t="s">
        <v>100</v>
      </c>
      <c r="S74" s="5" t="s">
        <v>14</v>
      </c>
      <c r="T74" s="5" t="s">
        <v>70</v>
      </c>
      <c r="U74" s="5" t="s">
        <v>954</v>
      </c>
      <c r="V74" s="5" t="s">
        <v>72</v>
      </c>
      <c r="W74" s="5"/>
    </row>
    <row r="75" spans="1:23" ht="21" customHeight="1">
      <c r="A75" s="5" t="s">
        <v>955</v>
      </c>
      <c r="B75" s="5" t="s">
        <v>19</v>
      </c>
      <c r="C75" s="5" t="s">
        <v>637</v>
      </c>
      <c r="D75" s="5" t="s">
        <v>956</v>
      </c>
      <c r="E75" s="5" t="s">
        <v>957</v>
      </c>
      <c r="F75" s="5" t="s">
        <v>958</v>
      </c>
      <c r="G75" s="5" t="s">
        <v>18</v>
      </c>
      <c r="H75" s="5" t="s">
        <v>77</v>
      </c>
      <c r="I75" s="5" t="s">
        <v>599</v>
      </c>
      <c r="J75" s="5" t="s">
        <v>959</v>
      </c>
      <c r="K75" s="5" t="s">
        <v>960</v>
      </c>
      <c r="L75" s="5" t="s">
        <v>961</v>
      </c>
      <c r="M75" s="5" t="s">
        <v>962</v>
      </c>
      <c r="N75" s="5" t="s">
        <v>963</v>
      </c>
      <c r="O75" s="5" t="s">
        <v>964</v>
      </c>
      <c r="P75" s="5" t="s">
        <v>965</v>
      </c>
      <c r="Q75" s="5" t="s">
        <v>966</v>
      </c>
      <c r="R75" s="5" t="s">
        <v>714</v>
      </c>
      <c r="S75" s="5" t="s">
        <v>14</v>
      </c>
      <c r="T75" s="5" t="s">
        <v>967</v>
      </c>
      <c r="U75" s="5" t="s">
        <v>968</v>
      </c>
      <c r="V75" s="5" t="s">
        <v>72</v>
      </c>
      <c r="W75" s="5"/>
    </row>
    <row r="76" spans="1:23" ht="21" customHeight="1">
      <c r="A76" s="5" t="s">
        <v>969</v>
      </c>
      <c r="B76" s="5" t="s">
        <v>19</v>
      </c>
      <c r="C76" s="5" t="s">
        <v>637</v>
      </c>
      <c r="D76" s="5" t="s">
        <v>956</v>
      </c>
      <c r="E76" s="5" t="s">
        <v>970</v>
      </c>
      <c r="F76" s="5" t="s">
        <v>971</v>
      </c>
      <c r="G76" s="5" t="s">
        <v>16</v>
      </c>
      <c r="H76" s="5" t="s">
        <v>77</v>
      </c>
      <c r="I76" s="5" t="s">
        <v>159</v>
      </c>
      <c r="J76" s="5" t="s">
        <v>972</v>
      </c>
      <c r="K76" s="5" t="s">
        <v>973</v>
      </c>
      <c r="L76" s="5" t="s">
        <v>974</v>
      </c>
      <c r="M76" s="5" t="s">
        <v>975</v>
      </c>
      <c r="N76" s="5" t="s">
        <v>976</v>
      </c>
      <c r="O76" s="5" t="s">
        <v>977</v>
      </c>
      <c r="P76" s="5" t="s">
        <v>978</v>
      </c>
      <c r="Q76" s="5" t="s">
        <v>979</v>
      </c>
      <c r="R76" s="5" t="s">
        <v>100</v>
      </c>
      <c r="S76" s="5" t="s">
        <v>14</v>
      </c>
      <c r="T76" s="5" t="s">
        <v>70</v>
      </c>
      <c r="U76" s="5" t="s">
        <v>980</v>
      </c>
      <c r="V76" s="5" t="s">
        <v>72</v>
      </c>
      <c r="W76" s="5"/>
    </row>
    <row r="77" spans="1:23" ht="21" customHeight="1">
      <c r="A77" s="5" t="s">
        <v>981</v>
      </c>
      <c r="B77" s="5" t="s">
        <v>19</v>
      </c>
      <c r="C77" s="5" t="s">
        <v>637</v>
      </c>
      <c r="D77" s="5" t="s">
        <v>956</v>
      </c>
      <c r="E77" s="5" t="s">
        <v>982</v>
      </c>
      <c r="F77" s="5" t="s">
        <v>983</v>
      </c>
      <c r="G77" s="5" t="s">
        <v>20</v>
      </c>
      <c r="H77" s="5" t="s">
        <v>59</v>
      </c>
      <c r="I77" s="5" t="s">
        <v>437</v>
      </c>
      <c r="J77" s="5" t="s">
        <v>984</v>
      </c>
      <c r="K77" s="5" t="s">
        <v>985</v>
      </c>
      <c r="L77" s="5" t="s">
        <v>986</v>
      </c>
      <c r="M77" s="5" t="s">
        <v>987</v>
      </c>
      <c r="N77" s="5" t="s">
        <v>988</v>
      </c>
      <c r="O77" s="5" t="s">
        <v>989</v>
      </c>
      <c r="P77" s="5" t="s">
        <v>990</v>
      </c>
      <c r="Q77" s="5" t="s">
        <v>991</v>
      </c>
      <c r="R77" s="5" t="s">
        <v>686</v>
      </c>
      <c r="S77" s="5" t="s">
        <v>14</v>
      </c>
      <c r="T77" s="5" t="s">
        <v>992</v>
      </c>
      <c r="U77" s="5" t="s">
        <v>993</v>
      </c>
      <c r="V77" s="5" t="s">
        <v>72</v>
      </c>
      <c r="W77" s="5"/>
    </row>
    <row r="78" spans="1:23" ht="21" customHeight="1">
      <c r="A78" s="5" t="s">
        <v>994</v>
      </c>
      <c r="B78" s="5" t="s">
        <v>19</v>
      </c>
      <c r="C78" s="5" t="s">
        <v>637</v>
      </c>
      <c r="D78" s="5" t="s">
        <v>995</v>
      </c>
      <c r="E78" s="5" t="s">
        <v>996</v>
      </c>
      <c r="F78" s="5" t="s">
        <v>997</v>
      </c>
      <c r="G78" s="5" t="s">
        <v>18</v>
      </c>
      <c r="H78" s="5" t="s">
        <v>77</v>
      </c>
      <c r="I78" s="5" t="s">
        <v>159</v>
      </c>
      <c r="J78" s="5" t="s">
        <v>998</v>
      </c>
      <c r="K78" s="5" t="s">
        <v>999</v>
      </c>
      <c r="L78" s="5" t="s">
        <v>1000</v>
      </c>
      <c r="M78" s="5" t="s">
        <v>1001</v>
      </c>
      <c r="N78" s="5" t="s">
        <v>1002</v>
      </c>
      <c r="O78" s="5" t="s">
        <v>1003</v>
      </c>
      <c r="P78" s="5" t="s">
        <v>1004</v>
      </c>
      <c r="Q78" s="5" t="s">
        <v>1005</v>
      </c>
      <c r="R78" s="5" t="s">
        <v>100</v>
      </c>
      <c r="S78" s="5" t="s">
        <v>14</v>
      </c>
      <c r="T78" s="5" t="s">
        <v>70</v>
      </c>
      <c r="U78" s="5" t="s">
        <v>1006</v>
      </c>
      <c r="V78" s="5" t="s">
        <v>72</v>
      </c>
      <c r="W78" s="5"/>
    </row>
    <row r="79" spans="1:23" ht="21" customHeight="1">
      <c r="A79" s="5" t="s">
        <v>1007</v>
      </c>
      <c r="B79" s="5" t="s">
        <v>19</v>
      </c>
      <c r="C79" s="5" t="s">
        <v>637</v>
      </c>
      <c r="D79" s="5" t="s">
        <v>995</v>
      </c>
      <c r="E79" s="5" t="s">
        <v>1008</v>
      </c>
      <c r="F79" s="5" t="s">
        <v>1009</v>
      </c>
      <c r="G79" s="5" t="s">
        <v>18</v>
      </c>
      <c r="H79" s="5" t="s">
        <v>77</v>
      </c>
      <c r="I79" s="5" t="s">
        <v>159</v>
      </c>
      <c r="J79" s="5" t="s">
        <v>1010</v>
      </c>
      <c r="K79" s="5" t="s">
        <v>1011</v>
      </c>
      <c r="L79" s="5" t="s">
        <v>1012</v>
      </c>
      <c r="M79" s="5" t="s">
        <v>1013</v>
      </c>
      <c r="N79" s="5" t="s">
        <v>1014</v>
      </c>
      <c r="O79" s="5" t="s">
        <v>1015</v>
      </c>
      <c r="P79" s="5" t="s">
        <v>1016</v>
      </c>
      <c r="Q79" s="5" t="s">
        <v>167</v>
      </c>
      <c r="R79" s="5" t="s">
        <v>100</v>
      </c>
      <c r="S79" s="5" t="s">
        <v>14</v>
      </c>
      <c r="T79" s="5" t="s">
        <v>70</v>
      </c>
      <c r="U79" s="5" t="s">
        <v>1017</v>
      </c>
      <c r="V79" s="5" t="s">
        <v>72</v>
      </c>
      <c r="W79" s="5"/>
    </row>
    <row r="80" spans="1:23" ht="21" customHeight="1">
      <c r="A80" s="5" t="s">
        <v>1018</v>
      </c>
      <c r="B80" s="5" t="s">
        <v>19</v>
      </c>
      <c r="C80" s="5" t="s">
        <v>637</v>
      </c>
      <c r="D80" s="5" t="s">
        <v>965</v>
      </c>
      <c r="E80" s="5" t="s">
        <v>1019</v>
      </c>
      <c r="F80" s="5" t="s">
        <v>1020</v>
      </c>
      <c r="G80" s="5" t="s">
        <v>16</v>
      </c>
      <c r="H80" s="5" t="s">
        <v>77</v>
      </c>
      <c r="I80" s="5" t="s">
        <v>159</v>
      </c>
      <c r="J80" s="5" t="s">
        <v>1021</v>
      </c>
      <c r="K80" s="5" t="s">
        <v>1022</v>
      </c>
      <c r="L80" s="5" t="s">
        <v>1023</v>
      </c>
      <c r="M80" s="5" t="s">
        <v>1024</v>
      </c>
      <c r="N80" s="5" t="s">
        <v>1025</v>
      </c>
      <c r="O80" s="5" t="s">
        <v>1026</v>
      </c>
      <c r="P80" s="5" t="s">
        <v>1027</v>
      </c>
      <c r="Q80" s="5" t="s">
        <v>1028</v>
      </c>
      <c r="R80" s="5" t="s">
        <v>205</v>
      </c>
      <c r="S80" s="5" t="s">
        <v>16</v>
      </c>
      <c r="T80" s="5" t="s">
        <v>70</v>
      </c>
      <c r="U80" s="5" t="s">
        <v>1029</v>
      </c>
      <c r="V80" s="5" t="s">
        <v>72</v>
      </c>
      <c r="W80" s="5"/>
    </row>
    <row r="81" spans="1:23" ht="21" customHeight="1">
      <c r="A81" s="5" t="s">
        <v>1030</v>
      </c>
      <c r="B81" s="5" t="s">
        <v>19</v>
      </c>
      <c r="C81" s="5" t="s">
        <v>637</v>
      </c>
      <c r="D81" s="5" t="s">
        <v>965</v>
      </c>
      <c r="E81" s="5" t="s">
        <v>1031</v>
      </c>
      <c r="F81" s="5" t="s">
        <v>1032</v>
      </c>
      <c r="G81" s="5" t="s">
        <v>18</v>
      </c>
      <c r="H81" s="5" t="s">
        <v>59</v>
      </c>
      <c r="I81" s="5" t="s">
        <v>60</v>
      </c>
      <c r="J81" s="5" t="s">
        <v>1033</v>
      </c>
      <c r="K81" s="5" t="s">
        <v>1034</v>
      </c>
      <c r="L81" s="5" t="s">
        <v>1035</v>
      </c>
      <c r="M81" s="5" t="s">
        <v>1036</v>
      </c>
      <c r="N81" s="5" t="s">
        <v>1037</v>
      </c>
      <c r="O81" s="5" t="s">
        <v>1038</v>
      </c>
      <c r="P81" s="5" t="s">
        <v>1039</v>
      </c>
      <c r="Q81" s="5" t="s">
        <v>1040</v>
      </c>
      <c r="R81" s="5" t="s">
        <v>809</v>
      </c>
      <c r="S81" s="5" t="s">
        <v>18</v>
      </c>
      <c r="T81" s="5" t="s">
        <v>70</v>
      </c>
      <c r="U81" s="5" t="s">
        <v>1041</v>
      </c>
      <c r="V81" s="5" t="s">
        <v>72</v>
      </c>
      <c r="W81" s="5"/>
    </row>
    <row r="82" spans="1:23" ht="21" customHeight="1">
      <c r="A82" s="5" t="s">
        <v>1042</v>
      </c>
      <c r="B82" s="5" t="s">
        <v>21</v>
      </c>
      <c r="C82" s="5" t="s">
        <v>1043</v>
      </c>
      <c r="D82" s="5" t="s">
        <v>1044</v>
      </c>
      <c r="E82" s="5" t="s">
        <v>1045</v>
      </c>
      <c r="F82" s="5" t="s">
        <v>1046</v>
      </c>
      <c r="G82" s="5" t="s">
        <v>18</v>
      </c>
      <c r="H82" s="5" t="s">
        <v>77</v>
      </c>
      <c r="I82" s="5" t="s">
        <v>159</v>
      </c>
      <c r="J82" s="5" t="s">
        <v>1047</v>
      </c>
      <c r="K82" s="5" t="s">
        <v>1048</v>
      </c>
      <c r="L82" s="5" t="s">
        <v>1049</v>
      </c>
      <c r="M82" s="5" t="s">
        <v>1050</v>
      </c>
      <c r="N82" s="5" t="s">
        <v>1051</v>
      </c>
      <c r="O82" s="5" t="s">
        <v>1052</v>
      </c>
      <c r="P82" s="5" t="s">
        <v>1053</v>
      </c>
      <c r="Q82" s="5" t="s">
        <v>1054</v>
      </c>
      <c r="R82" s="5" t="s">
        <v>205</v>
      </c>
      <c r="S82" s="5" t="s">
        <v>16</v>
      </c>
      <c r="T82" s="5" t="s">
        <v>70</v>
      </c>
      <c r="U82" s="5" t="s">
        <v>1055</v>
      </c>
      <c r="V82" s="5" t="s">
        <v>72</v>
      </c>
      <c r="W82" s="5"/>
    </row>
    <row r="83" spans="1:23" ht="21" customHeight="1">
      <c r="A83" s="5" t="s">
        <v>1056</v>
      </c>
      <c r="B83" s="5" t="s">
        <v>21</v>
      </c>
      <c r="C83" s="5" t="s">
        <v>1043</v>
      </c>
      <c r="D83" s="5" t="s">
        <v>1044</v>
      </c>
      <c r="E83" s="5" t="s">
        <v>1057</v>
      </c>
      <c r="F83" s="5" t="s">
        <v>1058</v>
      </c>
      <c r="G83" s="5" t="s">
        <v>18</v>
      </c>
      <c r="H83" s="5" t="s">
        <v>77</v>
      </c>
      <c r="I83" s="5" t="s">
        <v>159</v>
      </c>
      <c r="J83" s="5" t="s">
        <v>1059</v>
      </c>
      <c r="K83" s="5" t="s">
        <v>1060</v>
      </c>
      <c r="L83" s="5" t="s">
        <v>1061</v>
      </c>
      <c r="M83" s="5" t="s">
        <v>1062</v>
      </c>
      <c r="N83" s="5" t="s">
        <v>1063</v>
      </c>
      <c r="O83" s="5" t="s">
        <v>1064</v>
      </c>
      <c r="P83" s="5" t="s">
        <v>1065</v>
      </c>
      <c r="Q83" s="5" t="s">
        <v>919</v>
      </c>
      <c r="R83" s="5" t="s">
        <v>1066</v>
      </c>
      <c r="S83" s="5" t="s">
        <v>18</v>
      </c>
      <c r="T83" s="5" t="s">
        <v>70</v>
      </c>
      <c r="U83" s="5" t="s">
        <v>1067</v>
      </c>
      <c r="V83" s="5" t="s">
        <v>72</v>
      </c>
      <c r="W83" s="5"/>
    </row>
    <row r="84" spans="1:23" ht="21" customHeight="1">
      <c r="A84" s="5" t="s">
        <v>1068</v>
      </c>
      <c r="B84" s="5" t="s">
        <v>21</v>
      </c>
      <c r="C84" s="5" t="s">
        <v>1043</v>
      </c>
      <c r="D84" s="5" t="s">
        <v>1044</v>
      </c>
      <c r="E84" s="5" t="s">
        <v>1069</v>
      </c>
      <c r="F84" s="5" t="s">
        <v>1070</v>
      </c>
      <c r="G84" s="5" t="s">
        <v>18</v>
      </c>
      <c r="H84" s="5" t="s">
        <v>77</v>
      </c>
      <c r="I84" s="5" t="s">
        <v>527</v>
      </c>
      <c r="J84" s="5" t="s">
        <v>1071</v>
      </c>
      <c r="K84" s="5" t="s">
        <v>1072</v>
      </c>
      <c r="L84" s="5" t="s">
        <v>1073</v>
      </c>
      <c r="M84" s="5" t="s">
        <v>1074</v>
      </c>
      <c r="N84" s="5" t="s">
        <v>1075</v>
      </c>
      <c r="O84" s="5" t="s">
        <v>1076</v>
      </c>
      <c r="P84" s="5" t="s">
        <v>1077</v>
      </c>
      <c r="Q84" s="5" t="s">
        <v>1078</v>
      </c>
      <c r="R84" s="5" t="s">
        <v>1079</v>
      </c>
      <c r="S84" s="5" t="s">
        <v>20</v>
      </c>
      <c r="T84" s="5" t="s">
        <v>864</v>
      </c>
      <c r="U84" s="5" t="s">
        <v>1080</v>
      </c>
      <c r="V84" s="5" t="s">
        <v>72</v>
      </c>
      <c r="W84" s="5"/>
    </row>
    <row r="85" spans="1:23" ht="21" customHeight="1">
      <c r="A85" s="5" t="s">
        <v>1081</v>
      </c>
      <c r="B85" s="5" t="s">
        <v>21</v>
      </c>
      <c r="C85" s="5" t="s">
        <v>1043</v>
      </c>
      <c r="D85" s="5" t="s">
        <v>1044</v>
      </c>
      <c r="E85" s="5" t="s">
        <v>1082</v>
      </c>
      <c r="F85" s="5" t="s">
        <v>1083</v>
      </c>
      <c r="G85" s="5" t="s">
        <v>18</v>
      </c>
      <c r="H85" s="5" t="s">
        <v>77</v>
      </c>
      <c r="I85" s="5" t="s">
        <v>527</v>
      </c>
      <c r="J85" s="5" t="s">
        <v>1084</v>
      </c>
      <c r="K85" s="5" t="s">
        <v>1085</v>
      </c>
      <c r="L85" s="5" t="s">
        <v>1086</v>
      </c>
      <c r="M85" s="5" t="s">
        <v>1087</v>
      </c>
      <c r="N85" s="5" t="s">
        <v>1088</v>
      </c>
      <c r="O85" s="5" t="s">
        <v>1089</v>
      </c>
      <c r="P85" s="5" t="s">
        <v>1069</v>
      </c>
      <c r="Q85" s="5" t="s">
        <v>862</v>
      </c>
      <c r="R85" s="5" t="s">
        <v>863</v>
      </c>
      <c r="S85" s="5" t="s">
        <v>20</v>
      </c>
      <c r="T85" s="5" t="s">
        <v>864</v>
      </c>
      <c r="U85" s="5" t="s">
        <v>1090</v>
      </c>
      <c r="V85" s="5" t="s">
        <v>72</v>
      </c>
      <c r="W85" s="5"/>
    </row>
    <row r="86" spans="1:23" ht="21" customHeight="1">
      <c r="A86" s="5" t="s">
        <v>1091</v>
      </c>
      <c r="B86" s="5" t="s">
        <v>21</v>
      </c>
      <c r="C86" s="5" t="s">
        <v>1043</v>
      </c>
      <c r="D86" s="5" t="s">
        <v>1092</v>
      </c>
      <c r="E86" s="5" t="s">
        <v>1093</v>
      </c>
      <c r="F86" s="5" t="s">
        <v>1094</v>
      </c>
      <c r="G86" s="5" t="s">
        <v>16</v>
      </c>
      <c r="H86" s="5" t="s">
        <v>77</v>
      </c>
      <c r="I86" s="5" t="s">
        <v>145</v>
      </c>
      <c r="J86" s="5" t="s">
        <v>1095</v>
      </c>
      <c r="K86" s="5" t="s">
        <v>1096</v>
      </c>
      <c r="L86" s="5" t="s">
        <v>1097</v>
      </c>
      <c r="M86" s="5" t="s">
        <v>1098</v>
      </c>
      <c r="N86" s="5" t="s">
        <v>1099</v>
      </c>
      <c r="O86" s="5" t="s">
        <v>1100</v>
      </c>
      <c r="P86" s="5" t="s">
        <v>1101</v>
      </c>
      <c r="Q86" s="5" t="s">
        <v>1102</v>
      </c>
      <c r="R86" s="5" t="s">
        <v>1103</v>
      </c>
      <c r="S86" s="5" t="s">
        <v>16</v>
      </c>
      <c r="T86" s="5" t="s">
        <v>70</v>
      </c>
      <c r="U86" s="5" t="s">
        <v>1104</v>
      </c>
      <c r="V86" s="5" t="s">
        <v>72</v>
      </c>
      <c r="W86" s="5"/>
    </row>
    <row r="87" spans="1:23" ht="21" customHeight="1">
      <c r="A87" s="5" t="s">
        <v>1105</v>
      </c>
      <c r="B87" s="5" t="s">
        <v>21</v>
      </c>
      <c r="C87" s="5" t="s">
        <v>1043</v>
      </c>
      <c r="D87" s="5" t="s">
        <v>1092</v>
      </c>
      <c r="E87" s="5" t="s">
        <v>1106</v>
      </c>
      <c r="F87" s="5" t="s">
        <v>1107</v>
      </c>
      <c r="G87" s="5" t="s">
        <v>16</v>
      </c>
      <c r="H87" s="5" t="s">
        <v>77</v>
      </c>
      <c r="I87" s="5" t="s">
        <v>159</v>
      </c>
      <c r="J87" s="5" t="s">
        <v>1108</v>
      </c>
      <c r="K87" s="5" t="s">
        <v>1109</v>
      </c>
      <c r="L87" s="5" t="s">
        <v>1110</v>
      </c>
      <c r="M87" s="5" t="s">
        <v>1111</v>
      </c>
      <c r="N87" s="5" t="s">
        <v>1112</v>
      </c>
      <c r="O87" s="5" t="s">
        <v>1113</v>
      </c>
      <c r="P87" s="5" t="s">
        <v>1114</v>
      </c>
      <c r="Q87" s="5" t="s">
        <v>458</v>
      </c>
      <c r="R87" s="5" t="s">
        <v>407</v>
      </c>
      <c r="S87" s="5" t="s">
        <v>14</v>
      </c>
      <c r="T87" s="5" t="s">
        <v>70</v>
      </c>
      <c r="U87" s="5" t="s">
        <v>1115</v>
      </c>
      <c r="V87" s="5" t="s">
        <v>72</v>
      </c>
      <c r="W87" s="5"/>
    </row>
    <row r="88" spans="1:23" ht="21" customHeight="1">
      <c r="A88" s="5" t="s">
        <v>1116</v>
      </c>
      <c r="B88" s="5" t="s">
        <v>21</v>
      </c>
      <c r="C88" s="5" t="s">
        <v>1043</v>
      </c>
      <c r="D88" s="5" t="s">
        <v>1092</v>
      </c>
      <c r="E88" s="5" t="s">
        <v>1117</v>
      </c>
      <c r="F88" s="5" t="s">
        <v>1118</v>
      </c>
      <c r="G88" s="5" t="s">
        <v>16</v>
      </c>
      <c r="H88" s="5" t="s">
        <v>77</v>
      </c>
      <c r="I88" s="5" t="s">
        <v>159</v>
      </c>
      <c r="J88" s="5" t="s">
        <v>1119</v>
      </c>
      <c r="K88" s="5" t="s">
        <v>1120</v>
      </c>
      <c r="L88" s="5" t="s">
        <v>1121</v>
      </c>
      <c r="M88" s="5" t="s">
        <v>1122</v>
      </c>
      <c r="N88" s="5" t="s">
        <v>1123</v>
      </c>
      <c r="O88" s="5" t="s">
        <v>1124</v>
      </c>
      <c r="P88" s="5" t="s">
        <v>156</v>
      </c>
      <c r="Q88" s="5" t="s">
        <v>760</v>
      </c>
      <c r="R88" s="5" t="s">
        <v>407</v>
      </c>
      <c r="S88" s="5" t="s">
        <v>14</v>
      </c>
      <c r="T88" s="5" t="s">
        <v>70</v>
      </c>
      <c r="U88" s="5" t="s">
        <v>1125</v>
      </c>
      <c r="V88" s="5" t="s">
        <v>72</v>
      </c>
      <c r="W88" s="5"/>
    </row>
    <row r="89" spans="1:23" ht="21" customHeight="1">
      <c r="A89" s="5" t="s">
        <v>1126</v>
      </c>
      <c r="B89" s="5" t="s">
        <v>21</v>
      </c>
      <c r="C89" s="5" t="s">
        <v>1043</v>
      </c>
      <c r="D89" s="5" t="s">
        <v>1127</v>
      </c>
      <c r="E89" s="5" t="s">
        <v>1128</v>
      </c>
      <c r="F89" s="5" t="s">
        <v>1129</v>
      </c>
      <c r="G89" s="5" t="s">
        <v>16</v>
      </c>
      <c r="H89" s="5" t="s">
        <v>77</v>
      </c>
      <c r="I89" s="5" t="s">
        <v>1130</v>
      </c>
      <c r="J89" s="5" t="s">
        <v>1131</v>
      </c>
      <c r="K89" s="5" t="s">
        <v>1132</v>
      </c>
      <c r="L89" s="5" t="s">
        <v>1133</v>
      </c>
      <c r="M89" s="5" t="s">
        <v>1134</v>
      </c>
      <c r="N89" s="5" t="s">
        <v>1135</v>
      </c>
      <c r="O89" s="5" t="s">
        <v>1136</v>
      </c>
      <c r="P89" s="5" t="s">
        <v>1137</v>
      </c>
      <c r="Q89" s="5" t="s">
        <v>1138</v>
      </c>
      <c r="R89" s="5" t="s">
        <v>548</v>
      </c>
      <c r="S89" s="5" t="s">
        <v>16</v>
      </c>
      <c r="T89" s="5" t="s">
        <v>70</v>
      </c>
      <c r="U89" s="5" t="s">
        <v>1139</v>
      </c>
      <c r="V89" s="5" t="s">
        <v>72</v>
      </c>
      <c r="W89" s="5"/>
    </row>
    <row r="90" spans="1:23" ht="21" customHeight="1">
      <c r="A90" s="5" t="s">
        <v>1140</v>
      </c>
      <c r="B90" s="5" t="s">
        <v>21</v>
      </c>
      <c r="C90" s="5" t="s">
        <v>1043</v>
      </c>
      <c r="D90" s="5" t="s">
        <v>1127</v>
      </c>
      <c r="E90" s="5" t="s">
        <v>1141</v>
      </c>
      <c r="F90" s="5" t="s">
        <v>1142</v>
      </c>
      <c r="G90" s="5" t="s">
        <v>16</v>
      </c>
      <c r="H90" s="5" t="s">
        <v>77</v>
      </c>
      <c r="I90" s="5" t="s">
        <v>1130</v>
      </c>
      <c r="J90" s="5" t="s">
        <v>1143</v>
      </c>
      <c r="K90" s="5" t="s">
        <v>1144</v>
      </c>
      <c r="L90" s="5" t="s">
        <v>1145</v>
      </c>
      <c r="M90" s="5" t="s">
        <v>1146</v>
      </c>
      <c r="N90" s="5" t="s">
        <v>1147</v>
      </c>
      <c r="O90" s="5" t="s">
        <v>1148</v>
      </c>
      <c r="P90" s="5" t="s">
        <v>1149</v>
      </c>
      <c r="Q90" s="5" t="s">
        <v>1150</v>
      </c>
      <c r="R90" s="5" t="s">
        <v>205</v>
      </c>
      <c r="S90" s="5" t="s">
        <v>16</v>
      </c>
      <c r="T90" s="5" t="s">
        <v>70</v>
      </c>
      <c r="U90" s="5" t="s">
        <v>1151</v>
      </c>
      <c r="V90" s="5" t="s">
        <v>72</v>
      </c>
      <c r="W90" s="5"/>
    </row>
    <row r="91" spans="1:23" ht="21" customHeight="1">
      <c r="A91" s="5" t="s">
        <v>1152</v>
      </c>
      <c r="B91" s="5" t="s">
        <v>21</v>
      </c>
      <c r="C91" s="5" t="s">
        <v>1043</v>
      </c>
      <c r="D91" s="5" t="s">
        <v>1127</v>
      </c>
      <c r="E91" s="5" t="s">
        <v>1153</v>
      </c>
      <c r="F91" s="5" t="s">
        <v>1154</v>
      </c>
      <c r="G91" s="5" t="s">
        <v>16</v>
      </c>
      <c r="H91" s="5" t="s">
        <v>77</v>
      </c>
      <c r="I91" s="5" t="s">
        <v>159</v>
      </c>
      <c r="J91" s="5" t="s">
        <v>1155</v>
      </c>
      <c r="K91" s="5" t="s">
        <v>1156</v>
      </c>
      <c r="L91" s="5" t="s">
        <v>1157</v>
      </c>
      <c r="M91" s="5" t="s">
        <v>1158</v>
      </c>
      <c r="N91" s="5" t="s">
        <v>1159</v>
      </c>
      <c r="O91" s="5" t="s">
        <v>1160</v>
      </c>
      <c r="P91" s="5" t="s">
        <v>1161</v>
      </c>
      <c r="Q91" s="5" t="s">
        <v>1005</v>
      </c>
      <c r="R91" s="5" t="s">
        <v>407</v>
      </c>
      <c r="S91" s="5" t="s">
        <v>14</v>
      </c>
      <c r="T91" s="5" t="s">
        <v>70</v>
      </c>
      <c r="U91" s="5" t="s">
        <v>1162</v>
      </c>
      <c r="V91" s="5" t="s">
        <v>72</v>
      </c>
      <c r="W91" s="5"/>
    </row>
    <row r="92" spans="1:23" ht="21" customHeight="1">
      <c r="A92" s="5" t="s">
        <v>1163</v>
      </c>
      <c r="B92" s="5" t="s">
        <v>21</v>
      </c>
      <c r="C92" s="5" t="s">
        <v>1043</v>
      </c>
      <c r="D92" s="5" t="s">
        <v>1127</v>
      </c>
      <c r="E92" s="5" t="s">
        <v>1164</v>
      </c>
      <c r="F92" s="5" t="s">
        <v>1165</v>
      </c>
      <c r="G92" s="5" t="s">
        <v>18</v>
      </c>
      <c r="H92" s="5" t="s">
        <v>77</v>
      </c>
      <c r="I92" s="5" t="s">
        <v>159</v>
      </c>
      <c r="J92" s="5" t="s">
        <v>1166</v>
      </c>
      <c r="K92" s="5" t="s">
        <v>1167</v>
      </c>
      <c r="L92" s="5" t="s">
        <v>1168</v>
      </c>
      <c r="M92" s="5" t="s">
        <v>1169</v>
      </c>
      <c r="N92" s="5" t="s">
        <v>1170</v>
      </c>
      <c r="O92" s="5" t="s">
        <v>1171</v>
      </c>
      <c r="P92" s="5" t="s">
        <v>1172</v>
      </c>
      <c r="Q92" s="5" t="s">
        <v>1173</v>
      </c>
      <c r="R92" s="5" t="s">
        <v>509</v>
      </c>
      <c r="S92" s="5" t="s">
        <v>16</v>
      </c>
      <c r="T92" s="5" t="s">
        <v>70</v>
      </c>
      <c r="U92" s="5" t="s">
        <v>1174</v>
      </c>
      <c r="V92" s="5" t="s">
        <v>72</v>
      </c>
      <c r="W92" s="5"/>
    </row>
    <row r="93" spans="1:23" ht="21" customHeight="1">
      <c r="A93" s="5" t="s">
        <v>1175</v>
      </c>
      <c r="B93" s="5" t="s">
        <v>21</v>
      </c>
      <c r="C93" s="5" t="s">
        <v>1043</v>
      </c>
      <c r="D93" s="5" t="s">
        <v>1127</v>
      </c>
      <c r="E93" s="5" t="s">
        <v>1176</v>
      </c>
      <c r="F93" s="5" t="s">
        <v>1177</v>
      </c>
      <c r="G93" s="5" t="s">
        <v>20</v>
      </c>
      <c r="H93" s="5" t="s">
        <v>59</v>
      </c>
      <c r="I93" s="5" t="s">
        <v>1178</v>
      </c>
      <c r="J93" s="5" t="s">
        <v>1179</v>
      </c>
      <c r="K93" s="5" t="s">
        <v>1180</v>
      </c>
      <c r="L93" s="5" t="s">
        <v>1181</v>
      </c>
      <c r="M93" s="5" t="s">
        <v>1182</v>
      </c>
      <c r="N93" s="5" t="s">
        <v>1183</v>
      </c>
      <c r="O93" s="5" t="s">
        <v>1184</v>
      </c>
      <c r="P93" s="5" t="s">
        <v>1185</v>
      </c>
      <c r="Q93" s="5" t="s">
        <v>919</v>
      </c>
      <c r="R93" s="5" t="s">
        <v>1186</v>
      </c>
      <c r="S93" s="5" t="s">
        <v>20</v>
      </c>
      <c r="T93" s="5" t="s">
        <v>1187</v>
      </c>
      <c r="U93" s="5" t="s">
        <v>1188</v>
      </c>
      <c r="V93" s="5" t="s">
        <v>72</v>
      </c>
      <c r="W93" s="5"/>
    </row>
    <row r="94" spans="1:23" ht="21" customHeight="1">
      <c r="A94" s="5" t="s">
        <v>1189</v>
      </c>
      <c r="B94" s="5" t="s">
        <v>21</v>
      </c>
      <c r="C94" s="5" t="s">
        <v>1043</v>
      </c>
      <c r="D94" s="5" t="s">
        <v>1190</v>
      </c>
      <c r="E94" s="5" t="s">
        <v>1191</v>
      </c>
      <c r="F94" s="5" t="s">
        <v>1192</v>
      </c>
      <c r="G94" s="5" t="s">
        <v>16</v>
      </c>
      <c r="H94" s="5" t="s">
        <v>77</v>
      </c>
      <c r="I94" s="5" t="s">
        <v>145</v>
      </c>
      <c r="J94" s="5" t="s">
        <v>1193</v>
      </c>
      <c r="K94" s="5" t="s">
        <v>1194</v>
      </c>
      <c r="L94" s="5" t="s">
        <v>1195</v>
      </c>
      <c r="M94" s="5" t="s">
        <v>1196</v>
      </c>
      <c r="N94" s="5" t="s">
        <v>1197</v>
      </c>
      <c r="O94" s="5" t="s">
        <v>1198</v>
      </c>
      <c r="P94" s="5" t="s">
        <v>1199</v>
      </c>
      <c r="Q94" s="5" t="s">
        <v>771</v>
      </c>
      <c r="R94" s="5" t="s">
        <v>714</v>
      </c>
      <c r="S94" s="5" t="s">
        <v>14</v>
      </c>
      <c r="T94" s="5" t="s">
        <v>70</v>
      </c>
      <c r="U94" s="5" t="s">
        <v>1200</v>
      </c>
      <c r="V94" s="5" t="s">
        <v>72</v>
      </c>
      <c r="W94" s="5"/>
    </row>
    <row r="95" spans="1:23" ht="21" customHeight="1">
      <c r="A95" s="5" t="s">
        <v>1201</v>
      </c>
      <c r="B95" s="5" t="s">
        <v>21</v>
      </c>
      <c r="C95" s="5" t="s">
        <v>1043</v>
      </c>
      <c r="D95" s="5" t="s">
        <v>1190</v>
      </c>
      <c r="E95" s="5" t="s">
        <v>1202</v>
      </c>
      <c r="F95" s="5" t="s">
        <v>1203</v>
      </c>
      <c r="G95" s="5" t="s">
        <v>16</v>
      </c>
      <c r="H95" s="5" t="s">
        <v>77</v>
      </c>
      <c r="I95" s="5" t="s">
        <v>159</v>
      </c>
      <c r="J95" s="5" t="s">
        <v>1204</v>
      </c>
      <c r="K95" s="5" t="s">
        <v>1205</v>
      </c>
      <c r="L95" s="5" t="s">
        <v>1206</v>
      </c>
      <c r="M95" s="5" t="s">
        <v>1207</v>
      </c>
      <c r="N95" s="5" t="s">
        <v>1208</v>
      </c>
      <c r="O95" s="5" t="s">
        <v>1209</v>
      </c>
      <c r="P95" s="5" t="s">
        <v>1210</v>
      </c>
      <c r="Q95" s="5" t="s">
        <v>305</v>
      </c>
      <c r="R95" s="5" t="s">
        <v>407</v>
      </c>
      <c r="S95" s="5" t="s">
        <v>14</v>
      </c>
      <c r="T95" s="5" t="s">
        <v>70</v>
      </c>
      <c r="U95" s="5" t="s">
        <v>1211</v>
      </c>
      <c r="V95" s="5" t="s">
        <v>72</v>
      </c>
      <c r="W95" s="5"/>
    </row>
    <row r="96" spans="1:23" ht="21" customHeight="1">
      <c r="A96" s="5" t="s">
        <v>1212</v>
      </c>
      <c r="B96" s="5" t="s">
        <v>21</v>
      </c>
      <c r="C96" s="5" t="s">
        <v>1043</v>
      </c>
      <c r="D96" s="5" t="s">
        <v>1190</v>
      </c>
      <c r="E96" s="5" t="s">
        <v>1213</v>
      </c>
      <c r="F96" s="5" t="s">
        <v>1214</v>
      </c>
      <c r="G96" s="5" t="s">
        <v>18</v>
      </c>
      <c r="H96" s="5" t="s">
        <v>59</v>
      </c>
      <c r="I96" s="5" t="s">
        <v>437</v>
      </c>
      <c r="J96" s="5" t="s">
        <v>1215</v>
      </c>
      <c r="K96" s="5" t="s">
        <v>1216</v>
      </c>
      <c r="L96" s="5" t="s">
        <v>1217</v>
      </c>
      <c r="M96" s="5" t="s">
        <v>1218</v>
      </c>
      <c r="N96" s="5" t="s">
        <v>1219</v>
      </c>
      <c r="O96" s="5" t="s">
        <v>1220</v>
      </c>
      <c r="P96" s="5" t="s">
        <v>1221</v>
      </c>
      <c r="Q96" s="5" t="s">
        <v>1222</v>
      </c>
      <c r="R96" s="5" t="s">
        <v>100</v>
      </c>
      <c r="S96" s="5" t="s">
        <v>14</v>
      </c>
      <c r="T96" s="5" t="s">
        <v>70</v>
      </c>
      <c r="U96" s="5" t="s">
        <v>1223</v>
      </c>
      <c r="V96" s="5" t="s">
        <v>72</v>
      </c>
      <c r="W96" s="5"/>
    </row>
    <row r="97" spans="1:23" ht="21" customHeight="1">
      <c r="A97" s="5" t="s">
        <v>1224</v>
      </c>
      <c r="B97" s="5" t="s">
        <v>21</v>
      </c>
      <c r="C97" s="5" t="s">
        <v>1043</v>
      </c>
      <c r="D97" s="5" t="s">
        <v>1190</v>
      </c>
      <c r="E97" s="5" t="s">
        <v>1225</v>
      </c>
      <c r="F97" s="5" t="s">
        <v>1226</v>
      </c>
      <c r="G97" s="5" t="s">
        <v>20</v>
      </c>
      <c r="H97" s="5" t="s">
        <v>1227</v>
      </c>
      <c r="I97" s="5" t="s">
        <v>1228</v>
      </c>
      <c r="J97" s="5" t="s">
        <v>1229</v>
      </c>
      <c r="K97" s="5" t="s">
        <v>1230</v>
      </c>
      <c r="L97" s="5" t="s">
        <v>1231</v>
      </c>
      <c r="M97" s="5" t="s">
        <v>1232</v>
      </c>
      <c r="N97" s="5" t="s">
        <v>1233</v>
      </c>
      <c r="O97" s="5" t="s">
        <v>1234</v>
      </c>
      <c r="P97" s="5" t="s">
        <v>1235</v>
      </c>
      <c r="Q97" s="5" t="s">
        <v>1236</v>
      </c>
      <c r="R97" s="5" t="s">
        <v>673</v>
      </c>
      <c r="S97" s="5" t="s">
        <v>18</v>
      </c>
      <c r="T97" s="5" t="s">
        <v>70</v>
      </c>
      <c r="U97" s="5" t="s">
        <v>1237</v>
      </c>
      <c r="V97" s="5" t="s">
        <v>72</v>
      </c>
      <c r="W97" s="5"/>
    </row>
    <row r="98" spans="1:23" ht="21" customHeight="1">
      <c r="A98" s="5" t="s">
        <v>1238</v>
      </c>
      <c r="B98" s="5" t="s">
        <v>21</v>
      </c>
      <c r="C98" s="5" t="s">
        <v>1043</v>
      </c>
      <c r="D98" s="5" t="s">
        <v>1239</v>
      </c>
      <c r="E98" s="5" t="s">
        <v>1240</v>
      </c>
      <c r="F98" s="5" t="s">
        <v>1241</v>
      </c>
      <c r="G98" s="5" t="s">
        <v>18</v>
      </c>
      <c r="H98" s="5" t="s">
        <v>59</v>
      </c>
      <c r="I98" s="5" t="s">
        <v>437</v>
      </c>
      <c r="J98" s="5" t="s">
        <v>1242</v>
      </c>
      <c r="K98" s="5" t="s">
        <v>1243</v>
      </c>
      <c r="L98" s="5" t="s">
        <v>1244</v>
      </c>
      <c r="M98" s="5" t="s">
        <v>1245</v>
      </c>
      <c r="N98" s="5" t="s">
        <v>1246</v>
      </c>
      <c r="O98" s="5" t="s">
        <v>1247</v>
      </c>
      <c r="P98" s="5" t="s">
        <v>1248</v>
      </c>
      <c r="Q98" s="5" t="s">
        <v>1249</v>
      </c>
      <c r="R98" s="5" t="s">
        <v>548</v>
      </c>
      <c r="S98" s="5" t="s">
        <v>16</v>
      </c>
      <c r="T98" s="5" t="s">
        <v>70</v>
      </c>
      <c r="U98" s="5" t="s">
        <v>1250</v>
      </c>
      <c r="V98" s="5" t="s">
        <v>72</v>
      </c>
      <c r="W98" s="5"/>
    </row>
    <row r="99" spans="1:23" ht="21" customHeight="1">
      <c r="A99" s="5" t="s">
        <v>1251</v>
      </c>
      <c r="B99" s="5" t="s">
        <v>21</v>
      </c>
      <c r="C99" s="5" t="s">
        <v>1043</v>
      </c>
      <c r="D99" s="5" t="s">
        <v>332</v>
      </c>
      <c r="E99" s="5" t="s">
        <v>1252</v>
      </c>
      <c r="F99" s="5" t="s">
        <v>1253</v>
      </c>
      <c r="G99" s="5" t="s">
        <v>20</v>
      </c>
      <c r="H99" s="5" t="s">
        <v>335</v>
      </c>
      <c r="I99" s="5" t="s">
        <v>336</v>
      </c>
      <c r="J99" s="5" t="s">
        <v>1254</v>
      </c>
      <c r="K99" s="5" t="s">
        <v>1255</v>
      </c>
      <c r="L99" s="5" t="s">
        <v>695</v>
      </c>
      <c r="M99" s="5" t="s">
        <v>1256</v>
      </c>
      <c r="N99" s="5" t="s">
        <v>1257</v>
      </c>
      <c r="O99" s="5" t="s">
        <v>1258</v>
      </c>
      <c r="P99" s="5" t="s">
        <v>1127</v>
      </c>
      <c r="Q99" s="5" t="s">
        <v>1259</v>
      </c>
      <c r="R99" s="5" t="s">
        <v>345</v>
      </c>
      <c r="S99" s="5" t="s">
        <v>22</v>
      </c>
      <c r="T99" s="5" t="s">
        <v>346</v>
      </c>
      <c r="U99" s="5" t="s">
        <v>1260</v>
      </c>
      <c r="V99" s="5" t="s">
        <v>72</v>
      </c>
      <c r="W99" s="5"/>
    </row>
    <row r="100" spans="1:23" ht="21" customHeight="1">
      <c r="A100" s="5" t="s">
        <v>1261</v>
      </c>
      <c r="B100" s="5" t="s">
        <v>21</v>
      </c>
      <c r="C100" s="5" t="s">
        <v>1043</v>
      </c>
      <c r="D100" s="5" t="s">
        <v>1262</v>
      </c>
      <c r="E100" s="5" t="s">
        <v>1263</v>
      </c>
      <c r="F100" s="5" t="s">
        <v>1264</v>
      </c>
      <c r="G100" s="5" t="s">
        <v>16</v>
      </c>
      <c r="H100" s="5" t="s">
        <v>77</v>
      </c>
      <c r="I100" s="5" t="s">
        <v>159</v>
      </c>
      <c r="J100" s="5" t="s">
        <v>1265</v>
      </c>
      <c r="K100" s="5" t="s">
        <v>1266</v>
      </c>
      <c r="L100" s="5" t="s">
        <v>1267</v>
      </c>
      <c r="M100" s="5" t="s">
        <v>1268</v>
      </c>
      <c r="N100" s="5" t="s">
        <v>1269</v>
      </c>
      <c r="O100" s="5" t="s">
        <v>1270</v>
      </c>
      <c r="P100" s="5" t="s">
        <v>1248</v>
      </c>
      <c r="Q100" s="5" t="s">
        <v>1005</v>
      </c>
      <c r="R100" s="5" t="s">
        <v>407</v>
      </c>
      <c r="S100" s="5" t="s">
        <v>14</v>
      </c>
      <c r="T100" s="5" t="s">
        <v>70</v>
      </c>
      <c r="U100" s="5" t="s">
        <v>1271</v>
      </c>
      <c r="V100" s="5" t="s">
        <v>72</v>
      </c>
      <c r="W100" s="5"/>
    </row>
    <row r="101" spans="1:23" ht="21" customHeight="1">
      <c r="A101" s="5" t="s">
        <v>1272</v>
      </c>
      <c r="B101" s="5" t="s">
        <v>21</v>
      </c>
      <c r="C101" s="5" t="s">
        <v>1043</v>
      </c>
      <c r="D101" s="5" t="s">
        <v>1262</v>
      </c>
      <c r="E101" s="5" t="s">
        <v>1273</v>
      </c>
      <c r="F101" s="5" t="s">
        <v>1274</v>
      </c>
      <c r="G101" s="5" t="s">
        <v>18</v>
      </c>
      <c r="H101" s="5" t="s">
        <v>77</v>
      </c>
      <c r="I101" s="5" t="s">
        <v>159</v>
      </c>
      <c r="J101" s="5" t="s">
        <v>1275</v>
      </c>
      <c r="K101" s="5" t="s">
        <v>1276</v>
      </c>
      <c r="L101" s="5" t="s">
        <v>1277</v>
      </c>
      <c r="M101" s="5" t="s">
        <v>1278</v>
      </c>
      <c r="N101" s="5" t="s">
        <v>1279</v>
      </c>
      <c r="O101" s="5" t="s">
        <v>1280</v>
      </c>
      <c r="P101" s="5" t="s">
        <v>1281</v>
      </c>
      <c r="Q101" s="5" t="s">
        <v>1282</v>
      </c>
      <c r="R101" s="5" t="s">
        <v>1283</v>
      </c>
      <c r="S101" s="5" t="s">
        <v>14</v>
      </c>
      <c r="T101" s="5" t="s">
        <v>70</v>
      </c>
      <c r="U101" s="5" t="s">
        <v>1284</v>
      </c>
      <c r="V101" s="5" t="s">
        <v>72</v>
      </c>
      <c r="W101" s="5"/>
    </row>
    <row r="102" spans="1:23" ht="21" customHeight="1">
      <c r="A102" s="5" t="s">
        <v>1285</v>
      </c>
      <c r="B102" s="5" t="s">
        <v>21</v>
      </c>
      <c r="C102" s="5" t="s">
        <v>1043</v>
      </c>
      <c r="D102" s="5" t="s">
        <v>1262</v>
      </c>
      <c r="E102" s="5" t="s">
        <v>1286</v>
      </c>
      <c r="F102" s="5" t="s">
        <v>1287</v>
      </c>
      <c r="G102" s="5" t="s">
        <v>18</v>
      </c>
      <c r="H102" s="5" t="s">
        <v>77</v>
      </c>
      <c r="I102" s="5" t="s">
        <v>159</v>
      </c>
      <c r="J102" s="5" t="s">
        <v>1288</v>
      </c>
      <c r="K102" s="5" t="s">
        <v>1289</v>
      </c>
      <c r="L102" s="5" t="s">
        <v>1290</v>
      </c>
      <c r="M102" s="5" t="s">
        <v>1291</v>
      </c>
      <c r="N102" s="5" t="s">
        <v>1292</v>
      </c>
      <c r="O102" s="5" t="s">
        <v>1293</v>
      </c>
      <c r="P102" s="5" t="s">
        <v>1294</v>
      </c>
      <c r="Q102" s="5" t="s">
        <v>1295</v>
      </c>
      <c r="R102" s="5" t="s">
        <v>548</v>
      </c>
      <c r="S102" s="5" t="s">
        <v>16</v>
      </c>
      <c r="T102" s="5" t="s">
        <v>70</v>
      </c>
      <c r="U102" s="5" t="s">
        <v>1296</v>
      </c>
      <c r="V102" s="5" t="s">
        <v>72</v>
      </c>
      <c r="W102" s="5"/>
    </row>
    <row r="103" spans="1:23" ht="21" customHeight="1">
      <c r="A103" s="5" t="s">
        <v>1297</v>
      </c>
      <c r="B103" s="5" t="s">
        <v>21</v>
      </c>
      <c r="C103" s="5" t="s">
        <v>1043</v>
      </c>
      <c r="D103" s="5" t="s">
        <v>1298</v>
      </c>
      <c r="E103" s="5" t="s">
        <v>1299</v>
      </c>
      <c r="F103" s="5" t="s">
        <v>1300</v>
      </c>
      <c r="G103" s="5" t="s">
        <v>16</v>
      </c>
      <c r="H103" s="5" t="s">
        <v>77</v>
      </c>
      <c r="I103" s="5" t="s">
        <v>145</v>
      </c>
      <c r="J103" s="5" t="s">
        <v>1301</v>
      </c>
      <c r="K103" s="5" t="s">
        <v>1302</v>
      </c>
      <c r="L103" s="5" t="s">
        <v>1303</v>
      </c>
      <c r="M103" s="5" t="s">
        <v>1304</v>
      </c>
      <c r="N103" s="5" t="s">
        <v>1305</v>
      </c>
      <c r="O103" s="5" t="s">
        <v>1306</v>
      </c>
      <c r="P103" s="5" t="s">
        <v>1307</v>
      </c>
      <c r="Q103" s="5" t="s">
        <v>1249</v>
      </c>
      <c r="R103" s="5" t="s">
        <v>548</v>
      </c>
      <c r="S103" s="5" t="s">
        <v>14</v>
      </c>
      <c r="T103" s="5" t="s">
        <v>70</v>
      </c>
      <c r="U103" s="5" t="s">
        <v>1308</v>
      </c>
      <c r="V103" s="5" t="s">
        <v>72</v>
      </c>
      <c r="W103" s="5"/>
    </row>
    <row r="104" spans="1:23" ht="21" customHeight="1">
      <c r="A104" s="5" t="s">
        <v>1309</v>
      </c>
      <c r="B104" s="5" t="s">
        <v>21</v>
      </c>
      <c r="C104" s="5" t="s">
        <v>1043</v>
      </c>
      <c r="D104" s="5" t="s">
        <v>1298</v>
      </c>
      <c r="E104" s="5" t="s">
        <v>1310</v>
      </c>
      <c r="F104" s="5" t="s">
        <v>1311</v>
      </c>
      <c r="G104" s="5" t="s">
        <v>16</v>
      </c>
      <c r="H104" s="5" t="s">
        <v>77</v>
      </c>
      <c r="I104" s="5" t="s">
        <v>145</v>
      </c>
      <c r="J104" s="5" t="s">
        <v>1312</v>
      </c>
      <c r="K104" s="5" t="s">
        <v>1313</v>
      </c>
      <c r="L104" s="5" t="s">
        <v>1314</v>
      </c>
      <c r="M104" s="5" t="s">
        <v>1315</v>
      </c>
      <c r="N104" s="5" t="s">
        <v>1316</v>
      </c>
      <c r="O104" s="5" t="s">
        <v>1317</v>
      </c>
      <c r="P104" s="5" t="s">
        <v>563</v>
      </c>
      <c r="Q104" s="5" t="s">
        <v>919</v>
      </c>
      <c r="R104" s="5" t="s">
        <v>1318</v>
      </c>
      <c r="S104" s="5" t="s">
        <v>18</v>
      </c>
      <c r="T104" s="5" t="s">
        <v>70</v>
      </c>
      <c r="U104" s="5" t="s">
        <v>1319</v>
      </c>
      <c r="V104" s="5" t="s">
        <v>72</v>
      </c>
      <c r="W104" s="5"/>
    </row>
    <row r="105" spans="1:23" ht="21" customHeight="1">
      <c r="A105" s="5" t="s">
        <v>1320</v>
      </c>
      <c r="B105" s="5" t="s">
        <v>21</v>
      </c>
      <c r="C105" s="5" t="s">
        <v>1043</v>
      </c>
      <c r="D105" s="5" t="s">
        <v>1321</v>
      </c>
      <c r="E105" s="5" t="s">
        <v>1322</v>
      </c>
      <c r="F105" s="5" t="s">
        <v>1323</v>
      </c>
      <c r="G105" s="5" t="s">
        <v>18</v>
      </c>
      <c r="H105" s="5" t="s">
        <v>77</v>
      </c>
      <c r="I105" s="5" t="s">
        <v>159</v>
      </c>
      <c r="J105" s="5" t="s">
        <v>1324</v>
      </c>
      <c r="K105" s="5" t="s">
        <v>1325</v>
      </c>
      <c r="L105" s="5" t="s">
        <v>1326</v>
      </c>
      <c r="M105" s="5" t="s">
        <v>1327</v>
      </c>
      <c r="N105" s="5" t="s">
        <v>1328</v>
      </c>
      <c r="O105" s="5" t="s">
        <v>1329</v>
      </c>
      <c r="P105" s="5" t="s">
        <v>1330</v>
      </c>
      <c r="Q105" s="5" t="s">
        <v>760</v>
      </c>
      <c r="R105" s="5" t="s">
        <v>100</v>
      </c>
      <c r="S105" s="5" t="s">
        <v>14</v>
      </c>
      <c r="T105" s="5" t="s">
        <v>70</v>
      </c>
      <c r="U105" s="5" t="s">
        <v>1331</v>
      </c>
      <c r="V105" s="5" t="s">
        <v>72</v>
      </c>
      <c r="W105" s="5"/>
    </row>
    <row r="106" spans="1:23" ht="21" customHeight="1">
      <c r="A106" s="5" t="s">
        <v>1332</v>
      </c>
      <c r="B106" s="5" t="s">
        <v>21</v>
      </c>
      <c r="C106" s="5" t="s">
        <v>1043</v>
      </c>
      <c r="D106" s="5" t="s">
        <v>1321</v>
      </c>
      <c r="E106" s="5" t="s">
        <v>1333</v>
      </c>
      <c r="F106" s="5" t="s">
        <v>1334</v>
      </c>
      <c r="G106" s="5" t="s">
        <v>18</v>
      </c>
      <c r="H106" s="5" t="s">
        <v>77</v>
      </c>
      <c r="I106" s="5" t="s">
        <v>159</v>
      </c>
      <c r="J106" s="5" t="s">
        <v>1335</v>
      </c>
      <c r="K106" s="5" t="s">
        <v>1336</v>
      </c>
      <c r="L106" s="5" t="s">
        <v>1337</v>
      </c>
      <c r="M106" s="5" t="s">
        <v>1338</v>
      </c>
      <c r="N106" s="5" t="s">
        <v>1339</v>
      </c>
      <c r="O106" s="5" t="s">
        <v>1340</v>
      </c>
      <c r="P106" s="5" t="s">
        <v>1341</v>
      </c>
      <c r="Q106" s="5" t="s">
        <v>1342</v>
      </c>
      <c r="R106" s="5" t="s">
        <v>100</v>
      </c>
      <c r="S106" s="5" t="s">
        <v>14</v>
      </c>
      <c r="T106" s="5" t="s">
        <v>70</v>
      </c>
      <c r="U106" s="5" t="s">
        <v>1343</v>
      </c>
      <c r="V106" s="5" t="s">
        <v>72</v>
      </c>
      <c r="W106" s="5"/>
    </row>
    <row r="107" spans="1:23" ht="21" customHeight="1">
      <c r="A107" s="5" t="s">
        <v>1344</v>
      </c>
      <c r="B107" s="5" t="s">
        <v>21</v>
      </c>
      <c r="C107" s="5" t="s">
        <v>1043</v>
      </c>
      <c r="D107" s="5" t="s">
        <v>1321</v>
      </c>
      <c r="E107" s="5" t="s">
        <v>1345</v>
      </c>
      <c r="F107" s="5" t="s">
        <v>1346</v>
      </c>
      <c r="G107" s="5" t="s">
        <v>18</v>
      </c>
      <c r="H107" s="5" t="s">
        <v>59</v>
      </c>
      <c r="I107" s="5" t="s">
        <v>437</v>
      </c>
      <c r="J107" s="5" t="s">
        <v>1347</v>
      </c>
      <c r="K107" s="5" t="s">
        <v>1348</v>
      </c>
      <c r="L107" s="5" t="s">
        <v>1349</v>
      </c>
      <c r="M107" s="5" t="s">
        <v>1350</v>
      </c>
      <c r="N107" s="5" t="s">
        <v>1351</v>
      </c>
      <c r="O107" s="5" t="s">
        <v>1352</v>
      </c>
      <c r="P107" s="5" t="s">
        <v>1353</v>
      </c>
      <c r="Q107" s="5" t="s">
        <v>1354</v>
      </c>
      <c r="R107" s="5" t="s">
        <v>407</v>
      </c>
      <c r="S107" s="5" t="s">
        <v>14</v>
      </c>
      <c r="T107" s="5" t="s">
        <v>70</v>
      </c>
      <c r="U107" s="5" t="s">
        <v>1355</v>
      </c>
      <c r="V107" s="5" t="s">
        <v>72</v>
      </c>
      <c r="W107" s="5"/>
    </row>
    <row r="108" spans="1:23" ht="21" customHeight="1">
      <c r="A108" s="5" t="s">
        <v>1356</v>
      </c>
      <c r="B108" s="5" t="s">
        <v>21</v>
      </c>
      <c r="C108" s="5" t="s">
        <v>1043</v>
      </c>
      <c r="D108" s="5" t="s">
        <v>1357</v>
      </c>
      <c r="E108" s="5" t="s">
        <v>1358</v>
      </c>
      <c r="F108" s="5" t="s">
        <v>1359</v>
      </c>
      <c r="G108" s="5" t="s">
        <v>20</v>
      </c>
      <c r="H108" s="5" t="s">
        <v>77</v>
      </c>
      <c r="I108" s="5" t="s">
        <v>60</v>
      </c>
      <c r="J108" s="5" t="s">
        <v>1360</v>
      </c>
      <c r="K108" s="5" t="s">
        <v>1361</v>
      </c>
      <c r="L108" s="5" t="s">
        <v>1362</v>
      </c>
      <c r="M108" s="5" t="s">
        <v>1363</v>
      </c>
      <c r="N108" s="5" t="s">
        <v>1364</v>
      </c>
      <c r="O108" s="5" t="s">
        <v>1365</v>
      </c>
      <c r="P108" s="5" t="s">
        <v>1366</v>
      </c>
      <c r="Q108" s="5" t="s">
        <v>1367</v>
      </c>
      <c r="R108" s="5" t="s">
        <v>863</v>
      </c>
      <c r="S108" s="5" t="s">
        <v>20</v>
      </c>
      <c r="T108" s="5" t="s">
        <v>864</v>
      </c>
      <c r="U108" s="5" t="s">
        <v>1368</v>
      </c>
      <c r="V108" s="5" t="s">
        <v>72</v>
      </c>
      <c r="W108" s="5"/>
    </row>
    <row r="109" spans="1:23" ht="21" customHeight="1">
      <c r="A109" s="5" t="s">
        <v>1369</v>
      </c>
      <c r="B109" s="5" t="s">
        <v>21</v>
      </c>
      <c r="C109" s="5" t="s">
        <v>1043</v>
      </c>
      <c r="D109" s="5" t="s">
        <v>1357</v>
      </c>
      <c r="E109" s="5" t="s">
        <v>1370</v>
      </c>
      <c r="F109" s="5" t="s">
        <v>1371</v>
      </c>
      <c r="G109" s="5" t="s">
        <v>20</v>
      </c>
      <c r="H109" s="5" t="s">
        <v>77</v>
      </c>
      <c r="I109" s="5" t="s">
        <v>60</v>
      </c>
      <c r="J109" s="5" t="s">
        <v>1372</v>
      </c>
      <c r="K109" s="5" t="s">
        <v>1373</v>
      </c>
      <c r="L109" s="5" t="s">
        <v>1374</v>
      </c>
      <c r="M109" s="5" t="s">
        <v>1375</v>
      </c>
      <c r="N109" s="5" t="s">
        <v>1376</v>
      </c>
      <c r="O109" s="5" t="s">
        <v>1377</v>
      </c>
      <c r="P109" s="5" t="s">
        <v>1378</v>
      </c>
      <c r="Q109" s="5" t="s">
        <v>919</v>
      </c>
      <c r="R109" s="5" t="s">
        <v>1186</v>
      </c>
      <c r="S109" s="5" t="s">
        <v>20</v>
      </c>
      <c r="T109" s="5" t="s">
        <v>1379</v>
      </c>
      <c r="U109" s="5" t="s">
        <v>1380</v>
      </c>
      <c r="V109" s="5" t="s">
        <v>72</v>
      </c>
      <c r="W109" s="5"/>
    </row>
    <row r="110" spans="1:23" ht="21" customHeight="1">
      <c r="A110" s="5" t="s">
        <v>1381</v>
      </c>
      <c r="B110" s="5" t="s">
        <v>21</v>
      </c>
      <c r="C110" s="5" t="s">
        <v>1043</v>
      </c>
      <c r="D110" s="5" t="s">
        <v>1382</v>
      </c>
      <c r="E110" s="5" t="s">
        <v>1383</v>
      </c>
      <c r="F110" s="5" t="s">
        <v>1384</v>
      </c>
      <c r="G110" s="5" t="s">
        <v>18</v>
      </c>
      <c r="H110" s="5" t="s">
        <v>77</v>
      </c>
      <c r="I110" s="5" t="s">
        <v>159</v>
      </c>
      <c r="J110" s="5" t="s">
        <v>1385</v>
      </c>
      <c r="K110" s="5" t="s">
        <v>1386</v>
      </c>
      <c r="L110" s="5" t="s">
        <v>1387</v>
      </c>
      <c r="M110" s="5" t="s">
        <v>1388</v>
      </c>
      <c r="N110" s="5" t="s">
        <v>1389</v>
      </c>
      <c r="O110" s="5" t="s">
        <v>1390</v>
      </c>
      <c r="P110" s="5" t="s">
        <v>1391</v>
      </c>
      <c r="Q110" s="5" t="s">
        <v>1392</v>
      </c>
      <c r="R110" s="5" t="s">
        <v>205</v>
      </c>
      <c r="S110" s="5" t="s">
        <v>16</v>
      </c>
      <c r="T110" s="5" t="s">
        <v>70</v>
      </c>
      <c r="U110" s="5" t="s">
        <v>1393</v>
      </c>
      <c r="V110" s="5" t="s">
        <v>72</v>
      </c>
      <c r="W110" s="5"/>
    </row>
    <row r="111" spans="1:23" ht="21" customHeight="1">
      <c r="A111" s="5" t="s">
        <v>1394</v>
      </c>
      <c r="B111" s="5" t="s">
        <v>21</v>
      </c>
      <c r="C111" s="5" t="s">
        <v>1043</v>
      </c>
      <c r="D111" s="5" t="s">
        <v>1382</v>
      </c>
      <c r="E111" s="5" t="s">
        <v>1395</v>
      </c>
      <c r="F111" s="5" t="s">
        <v>1396</v>
      </c>
      <c r="G111" s="5" t="s">
        <v>18</v>
      </c>
      <c r="H111" s="5" t="s">
        <v>77</v>
      </c>
      <c r="I111" s="5" t="s">
        <v>527</v>
      </c>
      <c r="J111" s="5" t="s">
        <v>1397</v>
      </c>
      <c r="K111" s="5" t="s">
        <v>1398</v>
      </c>
      <c r="L111" s="5" t="s">
        <v>1399</v>
      </c>
      <c r="M111" s="5" t="s">
        <v>1400</v>
      </c>
      <c r="N111" s="5" t="s">
        <v>1401</v>
      </c>
      <c r="O111" s="5" t="s">
        <v>1402</v>
      </c>
      <c r="P111" s="5" t="s">
        <v>179</v>
      </c>
      <c r="Q111" s="5" t="s">
        <v>919</v>
      </c>
      <c r="R111" s="5" t="s">
        <v>809</v>
      </c>
      <c r="S111" s="5" t="s">
        <v>18</v>
      </c>
      <c r="T111" s="5" t="s">
        <v>70</v>
      </c>
      <c r="U111" s="5" t="s">
        <v>1403</v>
      </c>
      <c r="V111" s="5" t="s">
        <v>72</v>
      </c>
      <c r="W111" s="5"/>
    </row>
    <row r="112" spans="1:23" ht="21" customHeight="1">
      <c r="A112" s="5" t="s">
        <v>1404</v>
      </c>
      <c r="B112" s="5" t="s">
        <v>21</v>
      </c>
      <c r="C112" s="5" t="s">
        <v>1043</v>
      </c>
      <c r="D112" s="5" t="s">
        <v>1382</v>
      </c>
      <c r="E112" s="5" t="s">
        <v>1405</v>
      </c>
      <c r="F112" s="5" t="s">
        <v>1406</v>
      </c>
      <c r="G112" s="5" t="s">
        <v>18</v>
      </c>
      <c r="H112" s="5" t="s">
        <v>77</v>
      </c>
      <c r="I112" s="5" t="s">
        <v>527</v>
      </c>
      <c r="J112" s="5" t="s">
        <v>1407</v>
      </c>
      <c r="K112" s="5" t="s">
        <v>1408</v>
      </c>
      <c r="L112" s="5" t="s">
        <v>1409</v>
      </c>
      <c r="M112" s="5" t="s">
        <v>1410</v>
      </c>
      <c r="N112" s="5" t="s">
        <v>1411</v>
      </c>
      <c r="O112" s="5" t="s">
        <v>1412</v>
      </c>
      <c r="P112" s="5" t="s">
        <v>1413</v>
      </c>
      <c r="Q112" s="5" t="s">
        <v>919</v>
      </c>
      <c r="R112" s="5" t="s">
        <v>1186</v>
      </c>
      <c r="S112" s="5" t="s">
        <v>20</v>
      </c>
      <c r="T112" s="5" t="s">
        <v>864</v>
      </c>
      <c r="U112" s="5" t="s">
        <v>1414</v>
      </c>
      <c r="V112" s="5" t="s">
        <v>72</v>
      </c>
      <c r="W112" s="5"/>
    </row>
    <row r="113" spans="1:23" ht="21" customHeight="1">
      <c r="A113" s="5" t="s">
        <v>1415</v>
      </c>
      <c r="B113" s="5" t="s">
        <v>21</v>
      </c>
      <c r="C113" s="5" t="s">
        <v>1043</v>
      </c>
      <c r="D113" s="5" t="s">
        <v>1416</v>
      </c>
      <c r="E113" s="5" t="s">
        <v>1417</v>
      </c>
      <c r="F113" s="5" t="s">
        <v>1418</v>
      </c>
      <c r="G113" s="5" t="s">
        <v>18</v>
      </c>
      <c r="H113" s="5" t="s">
        <v>77</v>
      </c>
      <c r="I113" s="5" t="s">
        <v>159</v>
      </c>
      <c r="J113" s="5" t="s">
        <v>1419</v>
      </c>
      <c r="K113" s="5" t="s">
        <v>1420</v>
      </c>
      <c r="L113" s="5" t="s">
        <v>1421</v>
      </c>
      <c r="M113" s="5" t="s">
        <v>1422</v>
      </c>
      <c r="N113" s="5" t="s">
        <v>1423</v>
      </c>
      <c r="O113" s="5" t="s">
        <v>1424</v>
      </c>
      <c r="P113" s="5" t="s">
        <v>847</v>
      </c>
      <c r="Q113" s="5" t="s">
        <v>305</v>
      </c>
      <c r="R113" s="5" t="s">
        <v>100</v>
      </c>
      <c r="S113" s="5" t="s">
        <v>14</v>
      </c>
      <c r="T113" s="5" t="s">
        <v>70</v>
      </c>
      <c r="U113" s="5" t="s">
        <v>1425</v>
      </c>
      <c r="V113" s="5" t="s">
        <v>72</v>
      </c>
      <c r="W113" s="5"/>
    </row>
    <row r="114" spans="1:23" ht="21" customHeight="1">
      <c r="A114" s="5" t="s">
        <v>1426</v>
      </c>
      <c r="B114" s="5" t="s">
        <v>21</v>
      </c>
      <c r="C114" s="5" t="s">
        <v>1043</v>
      </c>
      <c r="D114" s="5" t="s">
        <v>1416</v>
      </c>
      <c r="E114" s="5" t="s">
        <v>1427</v>
      </c>
      <c r="F114" s="5" t="s">
        <v>1428</v>
      </c>
      <c r="G114" s="5" t="s">
        <v>18</v>
      </c>
      <c r="H114" s="5" t="s">
        <v>77</v>
      </c>
      <c r="I114" s="5" t="s">
        <v>159</v>
      </c>
      <c r="J114" s="5" t="s">
        <v>1429</v>
      </c>
      <c r="K114" s="5" t="s">
        <v>1430</v>
      </c>
      <c r="L114" s="5" t="s">
        <v>1431</v>
      </c>
      <c r="M114" s="5" t="s">
        <v>1432</v>
      </c>
      <c r="N114" s="5" t="s">
        <v>1433</v>
      </c>
      <c r="O114" s="5" t="s">
        <v>1434</v>
      </c>
      <c r="P114" s="5" t="s">
        <v>179</v>
      </c>
      <c r="Q114" s="5" t="s">
        <v>1435</v>
      </c>
      <c r="R114" s="5" t="s">
        <v>548</v>
      </c>
      <c r="S114" s="5" t="s">
        <v>16</v>
      </c>
      <c r="T114" s="5" t="s">
        <v>70</v>
      </c>
      <c r="U114" s="5" t="s">
        <v>1436</v>
      </c>
      <c r="V114" s="5" t="s">
        <v>72</v>
      </c>
      <c r="W114" s="5"/>
    </row>
    <row r="115" spans="1:23" ht="21" customHeight="1">
      <c r="A115" s="5" t="s">
        <v>1437</v>
      </c>
      <c r="B115" s="5" t="s">
        <v>21</v>
      </c>
      <c r="C115" s="5" t="s">
        <v>1043</v>
      </c>
      <c r="D115" s="5" t="s">
        <v>1416</v>
      </c>
      <c r="E115" s="5" t="s">
        <v>1438</v>
      </c>
      <c r="F115" s="5" t="s">
        <v>1439</v>
      </c>
      <c r="G115" s="5" t="s">
        <v>18</v>
      </c>
      <c r="H115" s="5" t="s">
        <v>77</v>
      </c>
      <c r="I115" s="5" t="s">
        <v>159</v>
      </c>
      <c r="J115" s="5" t="s">
        <v>1440</v>
      </c>
      <c r="K115" s="5" t="s">
        <v>1441</v>
      </c>
      <c r="L115" s="5" t="s">
        <v>1442</v>
      </c>
      <c r="M115" s="5" t="s">
        <v>1443</v>
      </c>
      <c r="N115" s="5" t="s">
        <v>1444</v>
      </c>
      <c r="O115" s="5" t="s">
        <v>1445</v>
      </c>
      <c r="P115" s="5" t="s">
        <v>1446</v>
      </c>
      <c r="Q115" s="5" t="s">
        <v>1447</v>
      </c>
      <c r="R115" s="5" t="s">
        <v>100</v>
      </c>
      <c r="S115" s="5" t="s">
        <v>14</v>
      </c>
      <c r="T115" s="5" t="s">
        <v>70</v>
      </c>
      <c r="U115" s="5" t="s">
        <v>1448</v>
      </c>
      <c r="V115" s="5" t="s">
        <v>72</v>
      </c>
      <c r="W115" s="5"/>
    </row>
    <row r="116" spans="1:23" ht="21" customHeight="1">
      <c r="A116" s="5" t="s">
        <v>1449</v>
      </c>
      <c r="B116" s="5" t="s">
        <v>23</v>
      </c>
      <c r="C116" s="5" t="s">
        <v>1450</v>
      </c>
      <c r="D116" s="5" t="s">
        <v>1451</v>
      </c>
      <c r="E116" s="5" t="s">
        <v>1452</v>
      </c>
      <c r="F116" s="5" t="s">
        <v>1453</v>
      </c>
      <c r="G116" s="5" t="s">
        <v>18</v>
      </c>
      <c r="H116" s="5" t="s">
        <v>77</v>
      </c>
      <c r="I116" s="5" t="s">
        <v>105</v>
      </c>
      <c r="J116" s="5" t="s">
        <v>1454</v>
      </c>
      <c r="K116" s="5" t="s">
        <v>1455</v>
      </c>
      <c r="L116" s="5" t="s">
        <v>1456</v>
      </c>
      <c r="M116" s="5" t="s">
        <v>1457</v>
      </c>
      <c r="N116" s="5" t="s">
        <v>1458</v>
      </c>
      <c r="O116" s="5" t="s">
        <v>1459</v>
      </c>
      <c r="P116" s="5" t="s">
        <v>1460</v>
      </c>
      <c r="Q116" s="5" t="s">
        <v>919</v>
      </c>
      <c r="R116" s="5" t="s">
        <v>1461</v>
      </c>
      <c r="S116" s="5" t="s">
        <v>18</v>
      </c>
      <c r="T116" s="5" t="s">
        <v>70</v>
      </c>
      <c r="U116" s="5" t="s">
        <v>1462</v>
      </c>
      <c r="V116" s="5" t="s">
        <v>72</v>
      </c>
      <c r="W116" s="5"/>
    </row>
    <row r="117" spans="1:23" ht="21" customHeight="1">
      <c r="A117" s="5" t="s">
        <v>1463</v>
      </c>
      <c r="B117" s="5" t="s">
        <v>23</v>
      </c>
      <c r="C117" s="5" t="s">
        <v>1450</v>
      </c>
      <c r="D117" s="5" t="s">
        <v>1464</v>
      </c>
      <c r="E117" s="5" t="s">
        <v>1465</v>
      </c>
      <c r="F117" s="5" t="s">
        <v>1466</v>
      </c>
      <c r="G117" s="5" t="s">
        <v>18</v>
      </c>
      <c r="H117" s="5" t="s">
        <v>77</v>
      </c>
      <c r="I117" s="5" t="s">
        <v>159</v>
      </c>
      <c r="J117" s="5" t="s">
        <v>1467</v>
      </c>
      <c r="K117" s="5" t="s">
        <v>1468</v>
      </c>
      <c r="L117" s="5" t="s">
        <v>1469</v>
      </c>
      <c r="M117" s="5" t="s">
        <v>1470</v>
      </c>
      <c r="N117" s="5" t="s">
        <v>1471</v>
      </c>
      <c r="O117" s="5" t="s">
        <v>1472</v>
      </c>
      <c r="P117" s="5" t="s">
        <v>1473</v>
      </c>
      <c r="Q117" s="5" t="s">
        <v>919</v>
      </c>
      <c r="R117" s="5" t="s">
        <v>1186</v>
      </c>
      <c r="S117" s="5" t="s">
        <v>18</v>
      </c>
      <c r="T117" s="5" t="s">
        <v>1379</v>
      </c>
      <c r="U117" s="5" t="s">
        <v>1474</v>
      </c>
      <c r="V117" s="5" t="s">
        <v>72</v>
      </c>
      <c r="W117" s="5"/>
    </row>
    <row r="118" spans="1:23" ht="21" customHeight="1">
      <c r="A118" s="5" t="s">
        <v>1475</v>
      </c>
      <c r="B118" s="5" t="s">
        <v>23</v>
      </c>
      <c r="C118" s="5" t="s">
        <v>1450</v>
      </c>
      <c r="D118" s="5" t="s">
        <v>1464</v>
      </c>
      <c r="E118" s="5" t="s">
        <v>1476</v>
      </c>
      <c r="F118" s="5" t="s">
        <v>1477</v>
      </c>
      <c r="G118" s="5" t="s">
        <v>18</v>
      </c>
      <c r="H118" s="5" t="s">
        <v>77</v>
      </c>
      <c r="I118" s="5" t="s">
        <v>159</v>
      </c>
      <c r="J118" s="5" t="s">
        <v>1478</v>
      </c>
      <c r="K118" s="5" t="s">
        <v>1479</v>
      </c>
      <c r="L118" s="5" t="s">
        <v>1480</v>
      </c>
      <c r="M118" s="5" t="s">
        <v>1481</v>
      </c>
      <c r="N118" s="5" t="s">
        <v>1482</v>
      </c>
      <c r="O118" s="5" t="s">
        <v>1483</v>
      </c>
      <c r="P118" s="5" t="s">
        <v>1484</v>
      </c>
      <c r="Q118" s="5" t="s">
        <v>919</v>
      </c>
      <c r="R118" s="5" t="s">
        <v>1485</v>
      </c>
      <c r="S118" s="5" t="s">
        <v>18</v>
      </c>
      <c r="T118" s="5" t="s">
        <v>70</v>
      </c>
      <c r="U118" s="5" t="s">
        <v>1486</v>
      </c>
      <c r="V118" s="5" t="s">
        <v>72</v>
      </c>
      <c r="W118" s="5"/>
    </row>
    <row r="119" spans="1:23" ht="21" customHeight="1">
      <c r="A119" s="5" t="s">
        <v>1487</v>
      </c>
      <c r="B119" s="5" t="s">
        <v>23</v>
      </c>
      <c r="C119" s="5" t="s">
        <v>1450</v>
      </c>
      <c r="D119" s="5" t="s">
        <v>1488</v>
      </c>
      <c r="E119" s="5" t="s">
        <v>1489</v>
      </c>
      <c r="F119" s="5" t="s">
        <v>1490</v>
      </c>
      <c r="G119" s="5" t="s">
        <v>16</v>
      </c>
      <c r="H119" s="5" t="s">
        <v>77</v>
      </c>
      <c r="I119" s="5" t="s">
        <v>145</v>
      </c>
      <c r="J119" s="5" t="s">
        <v>1491</v>
      </c>
      <c r="K119" s="5" t="s">
        <v>1492</v>
      </c>
      <c r="L119" s="5" t="s">
        <v>1493</v>
      </c>
      <c r="M119" s="5" t="s">
        <v>1494</v>
      </c>
      <c r="N119" s="5" t="s">
        <v>1495</v>
      </c>
      <c r="O119" s="5" t="s">
        <v>1496</v>
      </c>
      <c r="P119" s="5" t="s">
        <v>1497</v>
      </c>
      <c r="Q119" s="5" t="s">
        <v>1498</v>
      </c>
      <c r="R119" s="5" t="s">
        <v>87</v>
      </c>
      <c r="S119" s="5" t="s">
        <v>16</v>
      </c>
      <c r="T119" s="5" t="s">
        <v>70</v>
      </c>
      <c r="U119" s="5" t="s">
        <v>1499</v>
      </c>
      <c r="V119" s="5" t="s">
        <v>72</v>
      </c>
      <c r="W119" s="5"/>
    </row>
    <row r="120" spans="1:23" ht="21" customHeight="1">
      <c r="A120" s="5" t="s">
        <v>1500</v>
      </c>
      <c r="B120" s="5" t="s">
        <v>23</v>
      </c>
      <c r="C120" s="5" t="s">
        <v>1450</v>
      </c>
      <c r="D120" s="5" t="s">
        <v>1488</v>
      </c>
      <c r="E120" s="5" t="s">
        <v>1501</v>
      </c>
      <c r="F120" s="5" t="s">
        <v>1502</v>
      </c>
      <c r="G120" s="5" t="s">
        <v>16</v>
      </c>
      <c r="H120" s="5" t="s">
        <v>77</v>
      </c>
      <c r="I120" s="5" t="s">
        <v>159</v>
      </c>
      <c r="J120" s="5" t="s">
        <v>1503</v>
      </c>
      <c r="K120" s="5" t="s">
        <v>1504</v>
      </c>
      <c r="L120" s="5" t="s">
        <v>1505</v>
      </c>
      <c r="M120" s="5" t="s">
        <v>1506</v>
      </c>
      <c r="N120" s="5" t="s">
        <v>1507</v>
      </c>
      <c r="O120" s="5" t="s">
        <v>1508</v>
      </c>
      <c r="P120" s="5" t="s">
        <v>1509</v>
      </c>
      <c r="Q120" s="5" t="s">
        <v>139</v>
      </c>
      <c r="R120" s="5" t="s">
        <v>1510</v>
      </c>
      <c r="S120" s="5" t="s">
        <v>16</v>
      </c>
      <c r="T120" s="5" t="s">
        <v>70</v>
      </c>
      <c r="U120" s="5" t="s">
        <v>1511</v>
      </c>
      <c r="V120" s="5" t="s">
        <v>72</v>
      </c>
      <c r="W120" s="5"/>
    </row>
    <row r="121" spans="1:23" ht="21" customHeight="1">
      <c r="A121" s="5" t="s">
        <v>1512</v>
      </c>
      <c r="B121" s="5" t="s">
        <v>23</v>
      </c>
      <c r="C121" s="5" t="s">
        <v>1450</v>
      </c>
      <c r="D121" s="5" t="s">
        <v>1488</v>
      </c>
      <c r="E121" s="5" t="s">
        <v>1513</v>
      </c>
      <c r="F121" s="5" t="s">
        <v>1514</v>
      </c>
      <c r="G121" s="5" t="s">
        <v>16</v>
      </c>
      <c r="H121" s="5" t="s">
        <v>77</v>
      </c>
      <c r="I121" s="5" t="s">
        <v>159</v>
      </c>
      <c r="J121" s="5" t="s">
        <v>1515</v>
      </c>
      <c r="K121" s="5" t="s">
        <v>1516</v>
      </c>
      <c r="L121" s="5" t="s">
        <v>1517</v>
      </c>
      <c r="M121" s="5" t="s">
        <v>1518</v>
      </c>
      <c r="N121" s="5" t="s">
        <v>1519</v>
      </c>
      <c r="O121" s="5" t="s">
        <v>1520</v>
      </c>
      <c r="P121" s="5" t="s">
        <v>1521</v>
      </c>
      <c r="Q121" s="5" t="s">
        <v>919</v>
      </c>
      <c r="R121" s="5" t="s">
        <v>1522</v>
      </c>
      <c r="S121" s="5" t="s">
        <v>20</v>
      </c>
      <c r="T121" s="5" t="s">
        <v>1379</v>
      </c>
      <c r="U121" s="5" t="s">
        <v>1523</v>
      </c>
      <c r="V121" s="5" t="s">
        <v>72</v>
      </c>
      <c r="W121" s="5"/>
    </row>
    <row r="122" spans="1:23" ht="21" customHeight="1">
      <c r="A122" s="5" t="s">
        <v>1524</v>
      </c>
      <c r="B122" s="5" t="s">
        <v>23</v>
      </c>
      <c r="C122" s="5" t="s">
        <v>1450</v>
      </c>
      <c r="D122" s="5" t="s">
        <v>1525</v>
      </c>
      <c r="E122" s="5" t="s">
        <v>1526</v>
      </c>
      <c r="F122" s="5" t="s">
        <v>1527</v>
      </c>
      <c r="G122" s="5" t="s">
        <v>16</v>
      </c>
      <c r="H122" s="5" t="s">
        <v>77</v>
      </c>
      <c r="I122" s="5" t="s">
        <v>159</v>
      </c>
      <c r="J122" s="5" t="s">
        <v>1528</v>
      </c>
      <c r="K122" s="5" t="s">
        <v>1529</v>
      </c>
      <c r="L122" s="5" t="s">
        <v>1530</v>
      </c>
      <c r="M122" s="5" t="s">
        <v>1531</v>
      </c>
      <c r="N122" s="5" t="s">
        <v>1532</v>
      </c>
      <c r="O122" s="5" t="s">
        <v>1533</v>
      </c>
      <c r="P122" s="5" t="s">
        <v>1534</v>
      </c>
      <c r="Q122" s="5" t="s">
        <v>1535</v>
      </c>
      <c r="R122" s="5" t="s">
        <v>407</v>
      </c>
      <c r="S122" s="5" t="s">
        <v>14</v>
      </c>
      <c r="T122" s="5" t="s">
        <v>70</v>
      </c>
      <c r="U122" s="5" t="s">
        <v>1536</v>
      </c>
      <c r="V122" s="5" t="s">
        <v>72</v>
      </c>
      <c r="W122" s="5"/>
    </row>
    <row r="123" spans="1:23" ht="21" customHeight="1">
      <c r="A123" s="5" t="s">
        <v>1537</v>
      </c>
      <c r="B123" s="5" t="s">
        <v>23</v>
      </c>
      <c r="C123" s="5" t="s">
        <v>1450</v>
      </c>
      <c r="D123" s="5" t="s">
        <v>1525</v>
      </c>
      <c r="E123" s="5" t="s">
        <v>1538</v>
      </c>
      <c r="F123" s="5" t="s">
        <v>1539</v>
      </c>
      <c r="G123" s="5" t="s">
        <v>16</v>
      </c>
      <c r="H123" s="5" t="s">
        <v>77</v>
      </c>
      <c r="I123" s="5" t="s">
        <v>159</v>
      </c>
      <c r="J123" s="5" t="s">
        <v>1540</v>
      </c>
      <c r="K123" s="5" t="s">
        <v>1541</v>
      </c>
      <c r="L123" s="5" t="s">
        <v>1542</v>
      </c>
      <c r="M123" s="5" t="s">
        <v>1543</v>
      </c>
      <c r="N123" s="5" t="s">
        <v>1544</v>
      </c>
      <c r="O123" s="5" t="s">
        <v>1545</v>
      </c>
      <c r="P123" s="5" t="s">
        <v>1546</v>
      </c>
      <c r="Q123" s="5" t="s">
        <v>1547</v>
      </c>
      <c r="R123" s="5" t="s">
        <v>87</v>
      </c>
      <c r="S123" s="5" t="s">
        <v>14</v>
      </c>
      <c r="T123" s="5" t="s">
        <v>70</v>
      </c>
      <c r="U123" s="5" t="s">
        <v>1548</v>
      </c>
      <c r="V123" s="5" t="s">
        <v>72</v>
      </c>
      <c r="W123" s="5"/>
    </row>
    <row r="124" spans="1:23" ht="21" customHeight="1">
      <c r="A124" s="5" t="s">
        <v>1549</v>
      </c>
      <c r="B124" s="5" t="s">
        <v>23</v>
      </c>
      <c r="C124" s="5" t="s">
        <v>1450</v>
      </c>
      <c r="D124" s="5" t="s">
        <v>1525</v>
      </c>
      <c r="E124" s="5" t="s">
        <v>1550</v>
      </c>
      <c r="F124" s="5" t="s">
        <v>1551</v>
      </c>
      <c r="G124" s="5" t="s">
        <v>18</v>
      </c>
      <c r="H124" s="5" t="s">
        <v>77</v>
      </c>
      <c r="I124" s="5" t="s">
        <v>159</v>
      </c>
      <c r="J124" s="5" t="s">
        <v>1552</v>
      </c>
      <c r="K124" s="5" t="s">
        <v>1553</v>
      </c>
      <c r="L124" s="5" t="s">
        <v>1554</v>
      </c>
      <c r="M124" s="5" t="s">
        <v>1555</v>
      </c>
      <c r="N124" s="5" t="s">
        <v>1556</v>
      </c>
      <c r="O124" s="5" t="s">
        <v>1557</v>
      </c>
      <c r="P124" s="5" t="s">
        <v>1558</v>
      </c>
      <c r="Q124" s="5" t="s">
        <v>919</v>
      </c>
      <c r="R124" s="5" t="s">
        <v>1485</v>
      </c>
      <c r="S124" s="5" t="s">
        <v>18</v>
      </c>
      <c r="T124" s="5" t="s">
        <v>70</v>
      </c>
      <c r="U124" s="5" t="s">
        <v>1559</v>
      </c>
      <c r="V124" s="5" t="s">
        <v>72</v>
      </c>
      <c r="W124" s="5"/>
    </row>
    <row r="125" spans="1:23" ht="21" customHeight="1">
      <c r="A125" s="5" t="s">
        <v>1560</v>
      </c>
      <c r="B125" s="5" t="s">
        <v>23</v>
      </c>
      <c r="C125" s="5" t="s">
        <v>1450</v>
      </c>
      <c r="D125" s="5" t="s">
        <v>332</v>
      </c>
      <c r="E125" s="5" t="s">
        <v>1561</v>
      </c>
      <c r="F125" s="5" t="s">
        <v>1562</v>
      </c>
      <c r="G125" s="5" t="s">
        <v>20</v>
      </c>
      <c r="H125" s="5" t="s">
        <v>335</v>
      </c>
      <c r="I125" s="5" t="s">
        <v>336</v>
      </c>
      <c r="J125" s="5" t="s">
        <v>1563</v>
      </c>
      <c r="K125" s="5" t="s">
        <v>1564</v>
      </c>
      <c r="L125" s="5" t="s">
        <v>1565</v>
      </c>
      <c r="M125" s="5" t="s">
        <v>1566</v>
      </c>
      <c r="N125" s="5" t="s">
        <v>1567</v>
      </c>
      <c r="O125" s="5" t="s">
        <v>1568</v>
      </c>
      <c r="P125" s="5" t="s">
        <v>1569</v>
      </c>
      <c r="Q125" s="5" t="s">
        <v>1570</v>
      </c>
      <c r="R125" s="5" t="s">
        <v>1571</v>
      </c>
      <c r="S125" s="5" t="s">
        <v>22</v>
      </c>
      <c r="T125" s="5" t="s">
        <v>346</v>
      </c>
      <c r="U125" s="5" t="s">
        <v>1572</v>
      </c>
      <c r="V125" s="5" t="s">
        <v>72</v>
      </c>
      <c r="W125" s="5"/>
    </row>
    <row r="126" spans="1:23" ht="21" customHeight="1">
      <c r="A126" s="5" t="s">
        <v>1573</v>
      </c>
      <c r="B126" s="5" t="s">
        <v>23</v>
      </c>
      <c r="C126" s="5" t="s">
        <v>1450</v>
      </c>
      <c r="D126" s="5" t="s">
        <v>1574</v>
      </c>
      <c r="E126" s="5" t="s">
        <v>1575</v>
      </c>
      <c r="F126" s="5" t="s">
        <v>1576</v>
      </c>
      <c r="G126" s="5" t="s">
        <v>16</v>
      </c>
      <c r="H126" s="5" t="s">
        <v>77</v>
      </c>
      <c r="I126" s="5" t="s">
        <v>159</v>
      </c>
      <c r="J126" s="5" t="s">
        <v>1577</v>
      </c>
      <c r="K126" s="5" t="s">
        <v>1578</v>
      </c>
      <c r="L126" s="5" t="s">
        <v>1579</v>
      </c>
      <c r="M126" s="5" t="s">
        <v>1580</v>
      </c>
      <c r="N126" s="5" t="s">
        <v>1581</v>
      </c>
      <c r="O126" s="5" t="s">
        <v>1582</v>
      </c>
      <c r="P126" s="5" t="s">
        <v>1484</v>
      </c>
      <c r="Q126" s="5" t="s">
        <v>747</v>
      </c>
      <c r="R126" s="5" t="s">
        <v>205</v>
      </c>
      <c r="S126" s="5" t="s">
        <v>16</v>
      </c>
      <c r="T126" s="5" t="s">
        <v>70</v>
      </c>
      <c r="U126" s="5" t="s">
        <v>1583</v>
      </c>
      <c r="V126" s="5" t="s">
        <v>72</v>
      </c>
      <c r="W126" s="5"/>
    </row>
    <row r="127" spans="1:23" ht="21" customHeight="1">
      <c r="A127" s="5" t="s">
        <v>1584</v>
      </c>
      <c r="B127" s="5" t="s">
        <v>23</v>
      </c>
      <c r="C127" s="5" t="s">
        <v>1450</v>
      </c>
      <c r="D127" s="5" t="s">
        <v>1574</v>
      </c>
      <c r="E127" s="5" t="s">
        <v>1585</v>
      </c>
      <c r="F127" s="5" t="s">
        <v>1586</v>
      </c>
      <c r="G127" s="5" t="s">
        <v>16</v>
      </c>
      <c r="H127" s="5" t="s">
        <v>77</v>
      </c>
      <c r="I127" s="5" t="s">
        <v>159</v>
      </c>
      <c r="J127" s="5" t="s">
        <v>1587</v>
      </c>
      <c r="K127" s="5" t="s">
        <v>1588</v>
      </c>
      <c r="L127" s="5" t="s">
        <v>1589</v>
      </c>
      <c r="M127" s="5" t="s">
        <v>1590</v>
      </c>
      <c r="N127" s="5" t="s">
        <v>1591</v>
      </c>
      <c r="O127" s="5" t="s">
        <v>1592</v>
      </c>
      <c r="P127" s="5" t="s">
        <v>1593</v>
      </c>
      <c r="Q127" s="5" t="s">
        <v>919</v>
      </c>
      <c r="R127" s="5" t="s">
        <v>809</v>
      </c>
      <c r="S127" s="5" t="s">
        <v>16</v>
      </c>
      <c r="T127" s="5" t="s">
        <v>70</v>
      </c>
      <c r="U127" s="5" t="s">
        <v>1594</v>
      </c>
      <c r="V127" s="5" t="s">
        <v>72</v>
      </c>
      <c r="W127" s="5"/>
    </row>
    <row r="128" spans="1:23" ht="21" customHeight="1">
      <c r="A128" s="5" t="s">
        <v>1595</v>
      </c>
      <c r="B128" s="5" t="s">
        <v>23</v>
      </c>
      <c r="C128" s="5" t="s">
        <v>1450</v>
      </c>
      <c r="D128" s="5" t="s">
        <v>1596</v>
      </c>
      <c r="E128" s="5" t="s">
        <v>1597</v>
      </c>
      <c r="F128" s="5" t="s">
        <v>1598</v>
      </c>
      <c r="G128" s="5" t="s">
        <v>16</v>
      </c>
      <c r="H128" s="5" t="s">
        <v>77</v>
      </c>
      <c r="I128" s="5" t="s">
        <v>145</v>
      </c>
      <c r="J128" s="5" t="s">
        <v>1599</v>
      </c>
      <c r="K128" s="5" t="s">
        <v>1600</v>
      </c>
      <c r="L128" s="5" t="s">
        <v>1601</v>
      </c>
      <c r="M128" s="5" t="s">
        <v>1602</v>
      </c>
      <c r="N128" s="5" t="s">
        <v>1603</v>
      </c>
      <c r="O128" s="5" t="s">
        <v>1604</v>
      </c>
      <c r="P128" s="5" t="s">
        <v>56</v>
      </c>
      <c r="Q128" s="5" t="s">
        <v>1605</v>
      </c>
      <c r="R128" s="5" t="s">
        <v>87</v>
      </c>
      <c r="S128" s="5" t="s">
        <v>16</v>
      </c>
      <c r="T128" s="5" t="s">
        <v>70</v>
      </c>
      <c r="U128" s="5" t="s">
        <v>1606</v>
      </c>
      <c r="V128" s="5" t="s">
        <v>72</v>
      </c>
      <c r="W128" s="5"/>
    </row>
    <row r="129" spans="1:23" ht="21" customHeight="1">
      <c r="A129" s="5" t="s">
        <v>1607</v>
      </c>
      <c r="B129" s="5" t="s">
        <v>23</v>
      </c>
      <c r="C129" s="5" t="s">
        <v>1450</v>
      </c>
      <c r="D129" s="5" t="s">
        <v>1596</v>
      </c>
      <c r="E129" s="5" t="s">
        <v>1608</v>
      </c>
      <c r="F129" s="5" t="s">
        <v>1609</v>
      </c>
      <c r="G129" s="5" t="s">
        <v>18</v>
      </c>
      <c r="H129" s="5" t="s">
        <v>77</v>
      </c>
      <c r="I129" s="5" t="s">
        <v>159</v>
      </c>
      <c r="J129" s="5" t="s">
        <v>1610</v>
      </c>
      <c r="K129" s="5" t="s">
        <v>1611</v>
      </c>
      <c r="L129" s="5" t="s">
        <v>1612</v>
      </c>
      <c r="M129" s="5" t="s">
        <v>1613</v>
      </c>
      <c r="N129" s="5" t="s">
        <v>1614</v>
      </c>
      <c r="O129" s="5" t="s">
        <v>1615</v>
      </c>
      <c r="P129" s="5" t="s">
        <v>1616</v>
      </c>
      <c r="Q129" s="5" t="s">
        <v>919</v>
      </c>
      <c r="R129" s="5" t="s">
        <v>1617</v>
      </c>
      <c r="S129" s="5" t="s">
        <v>20</v>
      </c>
      <c r="T129" s="5" t="s">
        <v>1379</v>
      </c>
      <c r="U129" s="5" t="s">
        <v>1618</v>
      </c>
      <c r="V129" s="5" t="s">
        <v>72</v>
      </c>
      <c r="W129" s="5"/>
    </row>
    <row r="130" spans="1:23" ht="21" customHeight="1">
      <c r="A130" s="5" t="s">
        <v>1619</v>
      </c>
      <c r="B130" s="5" t="s">
        <v>23</v>
      </c>
      <c r="C130" s="5" t="s">
        <v>1450</v>
      </c>
      <c r="D130" s="5" t="s">
        <v>1596</v>
      </c>
      <c r="E130" s="5" t="s">
        <v>1620</v>
      </c>
      <c r="F130" s="5" t="s">
        <v>1621</v>
      </c>
      <c r="G130" s="5" t="s">
        <v>16</v>
      </c>
      <c r="H130" s="5" t="s">
        <v>77</v>
      </c>
      <c r="I130" s="5" t="s">
        <v>105</v>
      </c>
      <c r="J130" s="5" t="s">
        <v>1622</v>
      </c>
      <c r="K130" s="5" t="s">
        <v>1623</v>
      </c>
      <c r="L130" s="5" t="s">
        <v>1624</v>
      </c>
      <c r="M130" s="5" t="s">
        <v>1625</v>
      </c>
      <c r="N130" s="5" t="s">
        <v>1626</v>
      </c>
      <c r="O130" s="5" t="s">
        <v>1627</v>
      </c>
      <c r="P130" s="5" t="s">
        <v>1616</v>
      </c>
      <c r="Q130" s="5" t="s">
        <v>1628</v>
      </c>
      <c r="R130" s="5" t="s">
        <v>69</v>
      </c>
      <c r="S130" s="5" t="s">
        <v>18</v>
      </c>
      <c r="T130" s="5" t="s">
        <v>70</v>
      </c>
      <c r="U130" s="5" t="s">
        <v>1629</v>
      </c>
      <c r="V130" s="5" t="s">
        <v>72</v>
      </c>
      <c r="W130" s="5"/>
    </row>
    <row r="131" spans="1:23" ht="21" customHeight="1">
      <c r="A131" s="5" t="s">
        <v>1630</v>
      </c>
      <c r="B131" s="5" t="s">
        <v>23</v>
      </c>
      <c r="C131" s="5" t="s">
        <v>1450</v>
      </c>
      <c r="D131" s="5" t="s">
        <v>1631</v>
      </c>
      <c r="E131" s="5" t="s">
        <v>1632</v>
      </c>
      <c r="F131" s="5" t="s">
        <v>1633</v>
      </c>
      <c r="G131" s="5" t="s">
        <v>16</v>
      </c>
      <c r="H131" s="5" t="s">
        <v>77</v>
      </c>
      <c r="I131" s="5" t="s">
        <v>105</v>
      </c>
      <c r="J131" s="5" t="s">
        <v>1634</v>
      </c>
      <c r="K131" s="5" t="s">
        <v>1635</v>
      </c>
      <c r="L131" s="5" t="s">
        <v>1636</v>
      </c>
      <c r="M131" s="5" t="s">
        <v>1637</v>
      </c>
      <c r="N131" s="5" t="s">
        <v>1638</v>
      </c>
      <c r="O131" s="5" t="s">
        <v>1639</v>
      </c>
      <c r="P131" s="5" t="s">
        <v>1640</v>
      </c>
      <c r="Q131" s="5" t="s">
        <v>139</v>
      </c>
      <c r="R131" s="5" t="s">
        <v>87</v>
      </c>
      <c r="S131" s="5" t="s">
        <v>16</v>
      </c>
      <c r="T131" s="5" t="s">
        <v>70</v>
      </c>
      <c r="U131" s="5" t="s">
        <v>1641</v>
      </c>
      <c r="V131" s="5" t="s">
        <v>72</v>
      </c>
      <c r="W131" s="5"/>
    </row>
    <row r="132" spans="1:23" ht="21" customHeight="1">
      <c r="A132" s="5" t="s">
        <v>1642</v>
      </c>
      <c r="B132" s="5" t="s">
        <v>23</v>
      </c>
      <c r="C132" s="5" t="s">
        <v>1450</v>
      </c>
      <c r="D132" s="5" t="s">
        <v>1631</v>
      </c>
      <c r="E132" s="5" t="s">
        <v>1643</v>
      </c>
      <c r="F132" s="5" t="s">
        <v>1644</v>
      </c>
      <c r="G132" s="5" t="s">
        <v>18</v>
      </c>
      <c r="H132" s="5" t="s">
        <v>77</v>
      </c>
      <c r="I132" s="5" t="s">
        <v>527</v>
      </c>
      <c r="J132" s="5" t="s">
        <v>1645</v>
      </c>
      <c r="K132" s="5" t="s">
        <v>1646</v>
      </c>
      <c r="L132" s="5" t="s">
        <v>1647</v>
      </c>
      <c r="M132" s="5" t="s">
        <v>1648</v>
      </c>
      <c r="N132" s="5" t="s">
        <v>1649</v>
      </c>
      <c r="O132" s="5" t="s">
        <v>1650</v>
      </c>
      <c r="P132" s="5" t="s">
        <v>1651</v>
      </c>
      <c r="Q132" s="5" t="s">
        <v>1652</v>
      </c>
      <c r="R132" s="5" t="s">
        <v>1510</v>
      </c>
      <c r="S132" s="5" t="s">
        <v>16</v>
      </c>
      <c r="T132" s="5" t="s">
        <v>70</v>
      </c>
      <c r="U132" s="5" t="s">
        <v>1653</v>
      </c>
      <c r="V132" s="5" t="s">
        <v>72</v>
      </c>
      <c r="W132" s="5"/>
    </row>
    <row r="133" spans="1:23" ht="21" customHeight="1">
      <c r="A133" s="5" t="s">
        <v>1654</v>
      </c>
      <c r="B133" s="5" t="s">
        <v>23</v>
      </c>
      <c r="C133" s="5" t="s">
        <v>1450</v>
      </c>
      <c r="D133" s="5" t="s">
        <v>1655</v>
      </c>
      <c r="E133" s="5" t="s">
        <v>1656</v>
      </c>
      <c r="F133" s="5" t="s">
        <v>1657</v>
      </c>
      <c r="G133" s="5" t="s">
        <v>18</v>
      </c>
      <c r="H133" s="5" t="s">
        <v>77</v>
      </c>
      <c r="I133" s="5" t="s">
        <v>159</v>
      </c>
      <c r="J133" s="5" t="s">
        <v>1658</v>
      </c>
      <c r="K133" s="5" t="s">
        <v>1659</v>
      </c>
      <c r="L133" s="5" t="s">
        <v>1660</v>
      </c>
      <c r="M133" s="5" t="s">
        <v>1661</v>
      </c>
      <c r="N133" s="5" t="s">
        <v>1662</v>
      </c>
      <c r="O133" s="5" t="s">
        <v>1663</v>
      </c>
      <c r="P133" s="5" t="s">
        <v>1558</v>
      </c>
      <c r="Q133" s="5" t="s">
        <v>919</v>
      </c>
      <c r="R133" s="5" t="s">
        <v>1617</v>
      </c>
      <c r="S133" s="5" t="s">
        <v>20</v>
      </c>
      <c r="T133" s="5" t="s">
        <v>1379</v>
      </c>
      <c r="U133" s="5" t="s">
        <v>1664</v>
      </c>
      <c r="V133" s="5" t="s">
        <v>72</v>
      </c>
      <c r="W133" s="5"/>
    </row>
    <row r="134" spans="1:23" ht="21" customHeight="1">
      <c r="A134" s="5" t="s">
        <v>1665</v>
      </c>
      <c r="B134" s="5" t="s">
        <v>23</v>
      </c>
      <c r="C134" s="5" t="s">
        <v>1450</v>
      </c>
      <c r="D134" s="5" t="s">
        <v>1655</v>
      </c>
      <c r="E134" s="5" t="s">
        <v>1666</v>
      </c>
      <c r="F134" s="5" t="s">
        <v>1667</v>
      </c>
      <c r="G134" s="5" t="s">
        <v>20</v>
      </c>
      <c r="H134" s="5" t="s">
        <v>77</v>
      </c>
      <c r="I134" s="5" t="s">
        <v>527</v>
      </c>
      <c r="J134" s="5" t="s">
        <v>1668</v>
      </c>
      <c r="K134" s="5" t="s">
        <v>1669</v>
      </c>
      <c r="L134" s="5" t="s">
        <v>1670</v>
      </c>
      <c r="M134" s="5" t="s">
        <v>1671</v>
      </c>
      <c r="N134" s="5" t="s">
        <v>1672</v>
      </c>
      <c r="O134" s="5" t="s">
        <v>1673</v>
      </c>
      <c r="P134" s="5" t="s">
        <v>1550</v>
      </c>
      <c r="Q134" s="5" t="s">
        <v>919</v>
      </c>
      <c r="R134" s="5" t="s">
        <v>1367</v>
      </c>
      <c r="S134" s="5" t="s">
        <v>20</v>
      </c>
      <c r="T134" s="5" t="s">
        <v>864</v>
      </c>
      <c r="U134" s="5" t="s">
        <v>1674</v>
      </c>
      <c r="V134" s="5" t="s">
        <v>72</v>
      </c>
      <c r="W134" s="5"/>
    </row>
    <row r="135" spans="1:23" ht="21" customHeight="1">
      <c r="A135" s="5" t="s">
        <v>1675</v>
      </c>
      <c r="B135" s="5" t="s">
        <v>24</v>
      </c>
      <c r="C135" s="5" t="s">
        <v>1676</v>
      </c>
      <c r="D135" s="5" t="s">
        <v>1677</v>
      </c>
      <c r="E135" s="5" t="s">
        <v>1678</v>
      </c>
      <c r="F135" s="5" t="s">
        <v>1679</v>
      </c>
      <c r="G135" s="5" t="s">
        <v>16</v>
      </c>
      <c r="H135" s="5" t="s">
        <v>77</v>
      </c>
      <c r="I135" s="5" t="s">
        <v>285</v>
      </c>
      <c r="J135" s="5" t="s">
        <v>1680</v>
      </c>
      <c r="K135" s="5" t="s">
        <v>1681</v>
      </c>
      <c r="L135" s="5" t="s">
        <v>1682</v>
      </c>
      <c r="M135" s="5" t="s">
        <v>1683</v>
      </c>
      <c r="N135" s="5" t="s">
        <v>1684</v>
      </c>
      <c r="O135" s="5" t="s">
        <v>1685</v>
      </c>
      <c r="P135" s="5" t="s">
        <v>1686</v>
      </c>
      <c r="Q135" s="5" t="s">
        <v>760</v>
      </c>
      <c r="R135" s="5" t="s">
        <v>100</v>
      </c>
      <c r="S135" s="5" t="s">
        <v>14</v>
      </c>
      <c r="T135" s="5" t="s">
        <v>70</v>
      </c>
      <c r="U135" s="5" t="s">
        <v>1687</v>
      </c>
      <c r="V135" s="5" t="s">
        <v>72</v>
      </c>
      <c r="W135" s="5"/>
    </row>
    <row r="136" spans="1:23" ht="21" customHeight="1">
      <c r="A136" s="5" t="s">
        <v>1688</v>
      </c>
      <c r="B136" s="5" t="s">
        <v>24</v>
      </c>
      <c r="C136" s="5" t="s">
        <v>1676</v>
      </c>
      <c r="D136" s="5" t="s">
        <v>1677</v>
      </c>
      <c r="E136" s="5" t="s">
        <v>1689</v>
      </c>
      <c r="F136" s="5" t="s">
        <v>1690</v>
      </c>
      <c r="G136" s="5" t="s">
        <v>16</v>
      </c>
      <c r="H136" s="5" t="s">
        <v>77</v>
      </c>
      <c r="I136" s="5" t="s">
        <v>159</v>
      </c>
      <c r="J136" s="5" t="s">
        <v>1691</v>
      </c>
      <c r="K136" s="5" t="s">
        <v>1692</v>
      </c>
      <c r="L136" s="5" t="s">
        <v>1693</v>
      </c>
      <c r="M136" s="5" t="s">
        <v>1694</v>
      </c>
      <c r="N136" s="5" t="s">
        <v>1695</v>
      </c>
      <c r="O136" s="5" t="s">
        <v>1696</v>
      </c>
      <c r="P136" s="5" t="s">
        <v>1697</v>
      </c>
      <c r="Q136" s="5" t="s">
        <v>648</v>
      </c>
      <c r="R136" s="5" t="s">
        <v>100</v>
      </c>
      <c r="S136" s="5" t="s">
        <v>14</v>
      </c>
      <c r="T136" s="5" t="s">
        <v>70</v>
      </c>
      <c r="U136" s="5" t="s">
        <v>1698</v>
      </c>
      <c r="V136" s="5" t="s">
        <v>72</v>
      </c>
      <c r="W136" s="5"/>
    </row>
    <row r="137" spans="1:23" ht="21" customHeight="1">
      <c r="A137" s="5" t="s">
        <v>1699</v>
      </c>
      <c r="B137" s="5" t="s">
        <v>24</v>
      </c>
      <c r="C137" s="5" t="s">
        <v>1676</v>
      </c>
      <c r="D137" s="5" t="s">
        <v>1700</v>
      </c>
      <c r="E137" s="5" t="s">
        <v>1701</v>
      </c>
      <c r="F137" s="5" t="s">
        <v>1702</v>
      </c>
      <c r="G137" s="5" t="s">
        <v>20</v>
      </c>
      <c r="H137" s="5" t="s">
        <v>59</v>
      </c>
      <c r="I137" s="5" t="s">
        <v>437</v>
      </c>
      <c r="J137" s="5" t="s">
        <v>1703</v>
      </c>
      <c r="K137" s="5" t="s">
        <v>1704</v>
      </c>
      <c r="L137" s="5" t="s">
        <v>1705</v>
      </c>
      <c r="M137" s="5" t="s">
        <v>1706</v>
      </c>
      <c r="N137" s="5" t="s">
        <v>1707</v>
      </c>
      <c r="O137" s="5" t="s">
        <v>1708</v>
      </c>
      <c r="P137" s="5" t="s">
        <v>1709</v>
      </c>
      <c r="Q137" s="5" t="s">
        <v>1710</v>
      </c>
      <c r="R137" s="5" t="s">
        <v>1283</v>
      </c>
      <c r="S137" s="5" t="s">
        <v>14</v>
      </c>
      <c r="T137" s="5" t="s">
        <v>992</v>
      </c>
      <c r="U137" s="5" t="s">
        <v>1711</v>
      </c>
      <c r="V137" s="5" t="s">
        <v>72</v>
      </c>
      <c r="W137" s="5"/>
    </row>
    <row r="138" spans="1:23" ht="21" customHeight="1">
      <c r="A138" s="5" t="s">
        <v>1712</v>
      </c>
      <c r="B138" s="5" t="s">
        <v>24</v>
      </c>
      <c r="C138" s="5" t="s">
        <v>1676</v>
      </c>
      <c r="D138" s="5" t="s">
        <v>1713</v>
      </c>
      <c r="E138" s="5" t="s">
        <v>1714</v>
      </c>
      <c r="F138" s="5" t="s">
        <v>1715</v>
      </c>
      <c r="G138" s="5" t="s">
        <v>16</v>
      </c>
      <c r="H138" s="5" t="s">
        <v>77</v>
      </c>
      <c r="I138" s="5" t="s">
        <v>145</v>
      </c>
      <c r="J138" s="5" t="s">
        <v>1716</v>
      </c>
      <c r="K138" s="5" t="s">
        <v>1717</v>
      </c>
      <c r="L138" s="5" t="s">
        <v>1718</v>
      </c>
      <c r="M138" s="5" t="s">
        <v>1719</v>
      </c>
      <c r="N138" s="5" t="s">
        <v>1720</v>
      </c>
      <c r="O138" s="5" t="s">
        <v>1721</v>
      </c>
      <c r="P138" s="5" t="s">
        <v>1722</v>
      </c>
      <c r="Q138" s="5" t="s">
        <v>1723</v>
      </c>
      <c r="R138" s="5" t="s">
        <v>714</v>
      </c>
      <c r="S138" s="5" t="s">
        <v>14</v>
      </c>
      <c r="T138" s="5" t="s">
        <v>70</v>
      </c>
      <c r="U138" s="5" t="s">
        <v>1724</v>
      </c>
      <c r="V138" s="5" t="s">
        <v>72</v>
      </c>
      <c r="W138" s="5"/>
    </row>
    <row r="139" spans="1:23" ht="21" customHeight="1">
      <c r="A139" s="5" t="s">
        <v>1725</v>
      </c>
      <c r="B139" s="5" t="s">
        <v>24</v>
      </c>
      <c r="C139" s="5" t="s">
        <v>1676</v>
      </c>
      <c r="D139" s="5" t="s">
        <v>1713</v>
      </c>
      <c r="E139" s="5" t="s">
        <v>1726</v>
      </c>
      <c r="F139" s="5" t="s">
        <v>1727</v>
      </c>
      <c r="G139" s="5" t="s">
        <v>16</v>
      </c>
      <c r="H139" s="5" t="s">
        <v>77</v>
      </c>
      <c r="I139" s="5" t="s">
        <v>145</v>
      </c>
      <c r="J139" s="5" t="s">
        <v>1728</v>
      </c>
      <c r="K139" s="5" t="s">
        <v>1729</v>
      </c>
      <c r="L139" s="5" t="s">
        <v>1730</v>
      </c>
      <c r="M139" s="5" t="s">
        <v>1731</v>
      </c>
      <c r="N139" s="5" t="s">
        <v>1732</v>
      </c>
      <c r="O139" s="5" t="s">
        <v>1733</v>
      </c>
      <c r="P139" s="5" t="s">
        <v>1734</v>
      </c>
      <c r="Q139" s="5" t="s">
        <v>1735</v>
      </c>
      <c r="R139" s="5" t="s">
        <v>1736</v>
      </c>
      <c r="S139" s="5" t="s">
        <v>14</v>
      </c>
      <c r="T139" s="5" t="s">
        <v>70</v>
      </c>
      <c r="U139" s="5" t="s">
        <v>1737</v>
      </c>
      <c r="V139" s="5" t="s">
        <v>72</v>
      </c>
      <c r="W139" s="5"/>
    </row>
    <row r="140" spans="1:23" ht="21" customHeight="1">
      <c r="A140" s="5" t="s">
        <v>1738</v>
      </c>
      <c r="B140" s="5" t="s">
        <v>24</v>
      </c>
      <c r="C140" s="5" t="s">
        <v>1676</v>
      </c>
      <c r="D140" s="5" t="s">
        <v>1713</v>
      </c>
      <c r="E140" s="5" t="s">
        <v>1739</v>
      </c>
      <c r="F140" s="5" t="s">
        <v>1740</v>
      </c>
      <c r="G140" s="5" t="s">
        <v>20</v>
      </c>
      <c r="H140" s="5" t="s">
        <v>59</v>
      </c>
      <c r="I140" s="5" t="s">
        <v>437</v>
      </c>
      <c r="J140" s="5" t="s">
        <v>1741</v>
      </c>
      <c r="K140" s="5" t="s">
        <v>1742</v>
      </c>
      <c r="L140" s="5" t="s">
        <v>1743</v>
      </c>
      <c r="M140" s="5" t="s">
        <v>1744</v>
      </c>
      <c r="N140" s="5" t="s">
        <v>1745</v>
      </c>
      <c r="O140" s="5" t="s">
        <v>1746</v>
      </c>
      <c r="P140" s="5" t="s">
        <v>1747</v>
      </c>
      <c r="Q140" s="5" t="s">
        <v>1748</v>
      </c>
      <c r="R140" s="5" t="s">
        <v>1749</v>
      </c>
      <c r="S140" s="5" t="s">
        <v>16</v>
      </c>
      <c r="T140" s="5" t="s">
        <v>70</v>
      </c>
      <c r="U140" s="5" t="s">
        <v>1750</v>
      </c>
      <c r="V140" s="5" t="s">
        <v>72</v>
      </c>
      <c r="W140" s="5"/>
    </row>
    <row r="141" spans="1:23" ht="21" customHeight="1">
      <c r="A141" s="5" t="s">
        <v>1751</v>
      </c>
      <c r="B141" s="5" t="s">
        <v>24</v>
      </c>
      <c r="C141" s="5" t="s">
        <v>1676</v>
      </c>
      <c r="D141" s="5" t="s">
        <v>1752</v>
      </c>
      <c r="E141" s="5" t="s">
        <v>1753</v>
      </c>
      <c r="F141" s="5" t="s">
        <v>1754</v>
      </c>
      <c r="G141" s="5" t="s">
        <v>18</v>
      </c>
      <c r="H141" s="5" t="s">
        <v>77</v>
      </c>
      <c r="I141" s="5" t="s">
        <v>159</v>
      </c>
      <c r="J141" s="5" t="s">
        <v>1755</v>
      </c>
      <c r="K141" s="5" t="s">
        <v>1756</v>
      </c>
      <c r="L141" s="5" t="s">
        <v>1757</v>
      </c>
      <c r="M141" s="5" t="s">
        <v>1758</v>
      </c>
      <c r="N141" s="5" t="s">
        <v>1759</v>
      </c>
      <c r="O141" s="5" t="s">
        <v>1760</v>
      </c>
      <c r="P141" s="5" t="s">
        <v>1761</v>
      </c>
      <c r="Q141" s="5" t="s">
        <v>1762</v>
      </c>
      <c r="R141" s="5" t="s">
        <v>100</v>
      </c>
      <c r="S141" s="5" t="s">
        <v>14</v>
      </c>
      <c r="T141" s="5" t="s">
        <v>70</v>
      </c>
      <c r="U141" s="5" t="s">
        <v>1763</v>
      </c>
      <c r="V141" s="5" t="s">
        <v>72</v>
      </c>
      <c r="W141" s="5"/>
    </row>
    <row r="142" spans="1:23" ht="21" customHeight="1">
      <c r="A142" s="5" t="s">
        <v>1764</v>
      </c>
      <c r="B142" s="5" t="s">
        <v>24</v>
      </c>
      <c r="C142" s="5" t="s">
        <v>1676</v>
      </c>
      <c r="D142" s="5" t="s">
        <v>1752</v>
      </c>
      <c r="E142" s="5" t="s">
        <v>1765</v>
      </c>
      <c r="F142" s="5" t="s">
        <v>1766</v>
      </c>
      <c r="G142" s="5" t="s">
        <v>18</v>
      </c>
      <c r="H142" s="5" t="s">
        <v>77</v>
      </c>
      <c r="I142" s="5" t="s">
        <v>159</v>
      </c>
      <c r="J142" s="5" t="s">
        <v>1767</v>
      </c>
      <c r="K142" s="5" t="s">
        <v>1768</v>
      </c>
      <c r="L142" s="5" t="s">
        <v>1769</v>
      </c>
      <c r="M142" s="5" t="s">
        <v>1770</v>
      </c>
      <c r="N142" s="5" t="s">
        <v>1771</v>
      </c>
      <c r="O142" s="5" t="s">
        <v>1772</v>
      </c>
      <c r="P142" s="5" t="s">
        <v>1773</v>
      </c>
      <c r="Q142" s="5" t="s">
        <v>1774</v>
      </c>
      <c r="R142" s="5" t="s">
        <v>205</v>
      </c>
      <c r="S142" s="5" t="s">
        <v>16</v>
      </c>
      <c r="T142" s="5" t="s">
        <v>70</v>
      </c>
      <c r="U142" s="5" t="s">
        <v>1775</v>
      </c>
      <c r="V142" s="5" t="s">
        <v>72</v>
      </c>
      <c r="W142" s="5"/>
    </row>
    <row r="143" spans="1:23" ht="21" customHeight="1">
      <c r="A143" s="5" t="s">
        <v>1776</v>
      </c>
      <c r="B143" s="5" t="s">
        <v>24</v>
      </c>
      <c r="C143" s="5" t="s">
        <v>1676</v>
      </c>
      <c r="D143" s="5" t="s">
        <v>1777</v>
      </c>
      <c r="E143" s="5" t="s">
        <v>1778</v>
      </c>
      <c r="F143" s="5" t="s">
        <v>1779</v>
      </c>
      <c r="G143" s="5" t="s">
        <v>16</v>
      </c>
      <c r="H143" s="5" t="s">
        <v>77</v>
      </c>
      <c r="I143" s="5" t="s">
        <v>159</v>
      </c>
      <c r="J143" s="5" t="s">
        <v>1780</v>
      </c>
      <c r="K143" s="5" t="s">
        <v>1781</v>
      </c>
      <c r="L143" s="5" t="s">
        <v>1782</v>
      </c>
      <c r="M143" s="5" t="s">
        <v>1783</v>
      </c>
      <c r="N143" s="5" t="s">
        <v>1784</v>
      </c>
      <c r="O143" s="5" t="s">
        <v>1785</v>
      </c>
      <c r="P143" s="5" t="s">
        <v>1786</v>
      </c>
      <c r="Q143" s="5" t="s">
        <v>1787</v>
      </c>
      <c r="R143" s="5" t="s">
        <v>100</v>
      </c>
      <c r="S143" s="5" t="s">
        <v>14</v>
      </c>
      <c r="T143" s="5" t="s">
        <v>70</v>
      </c>
      <c r="U143" s="5" t="s">
        <v>1788</v>
      </c>
      <c r="V143" s="5" t="s">
        <v>72</v>
      </c>
      <c r="W143" s="5"/>
    </row>
    <row r="144" spans="1:23" ht="21" customHeight="1">
      <c r="A144" s="5" t="s">
        <v>1789</v>
      </c>
      <c r="B144" s="5" t="s">
        <v>24</v>
      </c>
      <c r="C144" s="5" t="s">
        <v>1676</v>
      </c>
      <c r="D144" s="5" t="s">
        <v>1777</v>
      </c>
      <c r="E144" s="5" t="s">
        <v>1790</v>
      </c>
      <c r="F144" s="5" t="s">
        <v>1791</v>
      </c>
      <c r="G144" s="5" t="s">
        <v>20</v>
      </c>
      <c r="H144" s="5" t="s">
        <v>77</v>
      </c>
      <c r="I144" s="5" t="s">
        <v>159</v>
      </c>
      <c r="J144" s="5" t="s">
        <v>1792</v>
      </c>
      <c r="K144" s="5" t="s">
        <v>1793</v>
      </c>
      <c r="L144" s="5" t="s">
        <v>1794</v>
      </c>
      <c r="M144" s="5" t="s">
        <v>1795</v>
      </c>
      <c r="N144" s="5" t="s">
        <v>1796</v>
      </c>
      <c r="O144" s="5" t="s">
        <v>1797</v>
      </c>
      <c r="P144" s="5" t="s">
        <v>1798</v>
      </c>
      <c r="Q144" s="5" t="s">
        <v>1787</v>
      </c>
      <c r="R144" s="5" t="s">
        <v>548</v>
      </c>
      <c r="S144" s="5" t="s">
        <v>16</v>
      </c>
      <c r="T144" s="5" t="s">
        <v>70</v>
      </c>
      <c r="U144" s="5" t="s">
        <v>1799</v>
      </c>
      <c r="V144" s="5" t="s">
        <v>72</v>
      </c>
      <c r="W144" s="5"/>
    </row>
    <row r="145" spans="1:23" ht="21" customHeight="1">
      <c r="A145" s="5" t="s">
        <v>1800</v>
      </c>
      <c r="B145" s="5" t="s">
        <v>24</v>
      </c>
      <c r="C145" s="5" t="s">
        <v>1676</v>
      </c>
      <c r="D145" s="5" t="s">
        <v>1777</v>
      </c>
      <c r="E145" s="5" t="s">
        <v>1801</v>
      </c>
      <c r="F145" s="5" t="s">
        <v>1802</v>
      </c>
      <c r="G145" s="5" t="s">
        <v>18</v>
      </c>
      <c r="H145" s="5" t="s">
        <v>77</v>
      </c>
      <c r="I145" s="5" t="s">
        <v>145</v>
      </c>
      <c r="J145" s="5" t="s">
        <v>1803</v>
      </c>
      <c r="K145" s="5" t="s">
        <v>1804</v>
      </c>
      <c r="L145" s="5" t="s">
        <v>1805</v>
      </c>
      <c r="M145" s="5" t="s">
        <v>1806</v>
      </c>
      <c r="N145" s="5" t="s">
        <v>1807</v>
      </c>
      <c r="O145" s="5" t="s">
        <v>1808</v>
      </c>
      <c r="P145" s="5" t="s">
        <v>1809</v>
      </c>
      <c r="Q145" s="5" t="s">
        <v>1810</v>
      </c>
      <c r="R145" s="5" t="s">
        <v>69</v>
      </c>
      <c r="S145" s="5" t="s">
        <v>18</v>
      </c>
      <c r="T145" s="5" t="s">
        <v>70</v>
      </c>
      <c r="U145" s="5" t="s">
        <v>1811</v>
      </c>
      <c r="V145" s="5" t="s">
        <v>72</v>
      </c>
      <c r="W145" s="5"/>
    </row>
    <row r="146" spans="1:23" ht="21" customHeight="1">
      <c r="A146" s="5" t="s">
        <v>1812</v>
      </c>
      <c r="B146" s="5" t="s">
        <v>24</v>
      </c>
      <c r="C146" s="5" t="s">
        <v>1676</v>
      </c>
      <c r="D146" s="5" t="s">
        <v>1813</v>
      </c>
      <c r="E146" s="5" t="s">
        <v>1814</v>
      </c>
      <c r="F146" s="5" t="s">
        <v>1815</v>
      </c>
      <c r="G146" s="5" t="s">
        <v>20</v>
      </c>
      <c r="H146" s="5" t="s">
        <v>77</v>
      </c>
      <c r="I146" s="5" t="s">
        <v>665</v>
      </c>
      <c r="J146" s="5" t="s">
        <v>1816</v>
      </c>
      <c r="K146" s="5" t="s">
        <v>1817</v>
      </c>
      <c r="L146" s="5" t="s">
        <v>1818</v>
      </c>
      <c r="M146" s="5" t="s">
        <v>1819</v>
      </c>
      <c r="N146" s="5" t="s">
        <v>1820</v>
      </c>
      <c r="O146" s="5" t="s">
        <v>1821</v>
      </c>
      <c r="P146" s="5" t="s">
        <v>1822</v>
      </c>
      <c r="Q146" s="5" t="s">
        <v>919</v>
      </c>
      <c r="R146" s="5" t="s">
        <v>1823</v>
      </c>
      <c r="S146" s="5" t="s">
        <v>18</v>
      </c>
      <c r="T146" s="5" t="s">
        <v>70</v>
      </c>
      <c r="U146" s="5" t="s">
        <v>1824</v>
      </c>
      <c r="V146" s="5" t="s">
        <v>72</v>
      </c>
      <c r="W146" s="5"/>
    </row>
    <row r="147" spans="1:23" ht="21" customHeight="1">
      <c r="A147" s="5" t="s">
        <v>1825</v>
      </c>
      <c r="B147" s="5" t="s">
        <v>24</v>
      </c>
      <c r="C147" s="5" t="s">
        <v>1676</v>
      </c>
      <c r="D147" s="5" t="s">
        <v>1826</v>
      </c>
      <c r="E147" s="5" t="s">
        <v>1827</v>
      </c>
      <c r="F147" s="5" t="s">
        <v>1828</v>
      </c>
      <c r="G147" s="5" t="s">
        <v>16</v>
      </c>
      <c r="H147" s="5" t="s">
        <v>77</v>
      </c>
      <c r="I147" s="5" t="s">
        <v>145</v>
      </c>
      <c r="J147" s="5" t="s">
        <v>1829</v>
      </c>
      <c r="K147" s="5" t="s">
        <v>1830</v>
      </c>
      <c r="L147" s="5" t="s">
        <v>1831</v>
      </c>
      <c r="M147" s="5" t="s">
        <v>1832</v>
      </c>
      <c r="N147" s="5" t="s">
        <v>1833</v>
      </c>
      <c r="O147" s="5" t="s">
        <v>1834</v>
      </c>
      <c r="P147" s="5" t="s">
        <v>1835</v>
      </c>
      <c r="Q147" s="5" t="s">
        <v>1836</v>
      </c>
      <c r="R147" s="5" t="s">
        <v>87</v>
      </c>
      <c r="S147" s="5" t="s">
        <v>14</v>
      </c>
      <c r="T147" s="5" t="s">
        <v>70</v>
      </c>
      <c r="U147" s="5" t="s">
        <v>1837</v>
      </c>
      <c r="V147" s="5" t="s">
        <v>72</v>
      </c>
      <c r="W147" s="5"/>
    </row>
    <row r="148" spans="1:23" ht="21" customHeight="1">
      <c r="A148" s="5" t="s">
        <v>1838</v>
      </c>
      <c r="B148" s="5" t="s">
        <v>24</v>
      </c>
      <c r="C148" s="5" t="s">
        <v>1676</v>
      </c>
      <c r="D148" s="5" t="s">
        <v>1839</v>
      </c>
      <c r="E148" s="5" t="s">
        <v>1840</v>
      </c>
      <c r="F148" s="5" t="s">
        <v>1841</v>
      </c>
      <c r="G148" s="5" t="s">
        <v>16</v>
      </c>
      <c r="H148" s="5" t="s">
        <v>77</v>
      </c>
      <c r="I148" s="5" t="s">
        <v>145</v>
      </c>
      <c r="J148" s="5" t="s">
        <v>1842</v>
      </c>
      <c r="K148" s="5" t="s">
        <v>1843</v>
      </c>
      <c r="L148" s="5" t="s">
        <v>1844</v>
      </c>
      <c r="M148" s="5" t="s">
        <v>1845</v>
      </c>
      <c r="N148" s="5" t="s">
        <v>1846</v>
      </c>
      <c r="O148" s="5" t="s">
        <v>1847</v>
      </c>
      <c r="P148" s="5" t="s">
        <v>1848</v>
      </c>
      <c r="Q148" s="5" t="s">
        <v>1849</v>
      </c>
      <c r="R148" s="5" t="s">
        <v>205</v>
      </c>
      <c r="S148" s="5" t="s">
        <v>16</v>
      </c>
      <c r="T148" s="5" t="s">
        <v>70</v>
      </c>
      <c r="U148" s="5" t="s">
        <v>1850</v>
      </c>
      <c r="V148" s="5" t="s">
        <v>72</v>
      </c>
      <c r="W148" s="5"/>
    </row>
    <row r="149" spans="1:23" ht="21" customHeight="1">
      <c r="A149" s="5" t="s">
        <v>1851</v>
      </c>
      <c r="B149" s="5" t="s">
        <v>24</v>
      </c>
      <c r="C149" s="5" t="s">
        <v>1676</v>
      </c>
      <c r="D149" s="5" t="s">
        <v>1839</v>
      </c>
      <c r="E149" s="5" t="s">
        <v>1852</v>
      </c>
      <c r="F149" s="5" t="s">
        <v>1853</v>
      </c>
      <c r="G149" s="5" t="s">
        <v>18</v>
      </c>
      <c r="H149" s="5" t="s">
        <v>59</v>
      </c>
      <c r="I149" s="5" t="s">
        <v>437</v>
      </c>
      <c r="J149" s="5" t="s">
        <v>1854</v>
      </c>
      <c r="K149" s="5" t="s">
        <v>1855</v>
      </c>
      <c r="L149" s="5" t="s">
        <v>1856</v>
      </c>
      <c r="M149" s="5" t="s">
        <v>1857</v>
      </c>
      <c r="N149" s="5" t="s">
        <v>1858</v>
      </c>
      <c r="O149" s="5" t="s">
        <v>1859</v>
      </c>
      <c r="P149" s="5" t="s">
        <v>1840</v>
      </c>
      <c r="Q149" s="5" t="s">
        <v>1860</v>
      </c>
      <c r="R149" s="5" t="s">
        <v>1861</v>
      </c>
      <c r="S149" s="5" t="s">
        <v>16</v>
      </c>
      <c r="T149" s="5" t="s">
        <v>70</v>
      </c>
      <c r="U149" s="5" t="s">
        <v>1862</v>
      </c>
      <c r="V149" s="5" t="s">
        <v>72</v>
      </c>
      <c r="W149" s="5"/>
    </row>
    <row r="150" spans="1:23" ht="21" customHeight="1">
      <c r="A150" s="5" t="s">
        <v>1863</v>
      </c>
      <c r="B150" s="5" t="s">
        <v>24</v>
      </c>
      <c r="C150" s="5" t="s">
        <v>1676</v>
      </c>
      <c r="D150" s="5" t="s">
        <v>1839</v>
      </c>
      <c r="E150" s="5" t="s">
        <v>1864</v>
      </c>
      <c r="F150" s="5" t="s">
        <v>1865</v>
      </c>
      <c r="G150" s="5" t="s">
        <v>18</v>
      </c>
      <c r="H150" s="5" t="s">
        <v>59</v>
      </c>
      <c r="I150" s="5" t="s">
        <v>437</v>
      </c>
      <c r="J150" s="5" t="s">
        <v>1866</v>
      </c>
      <c r="K150" s="5" t="s">
        <v>1867</v>
      </c>
      <c r="L150" s="5" t="s">
        <v>1868</v>
      </c>
      <c r="M150" s="5" t="s">
        <v>1869</v>
      </c>
      <c r="N150" s="5" t="s">
        <v>1870</v>
      </c>
      <c r="O150" s="5" t="s">
        <v>1871</v>
      </c>
      <c r="P150" s="5" t="s">
        <v>1872</v>
      </c>
      <c r="Q150" s="5" t="s">
        <v>1873</v>
      </c>
      <c r="R150" s="5" t="s">
        <v>87</v>
      </c>
      <c r="S150" s="5" t="s">
        <v>14</v>
      </c>
      <c r="T150" s="5" t="s">
        <v>70</v>
      </c>
      <c r="U150" s="5" t="s">
        <v>1874</v>
      </c>
      <c r="V150" s="5" t="s">
        <v>72</v>
      </c>
      <c r="W150" s="5"/>
    </row>
    <row r="151" spans="1:23" ht="21" customHeight="1">
      <c r="A151" s="5" t="s">
        <v>1875</v>
      </c>
      <c r="B151" s="5" t="s">
        <v>24</v>
      </c>
      <c r="C151" s="5" t="s">
        <v>1676</v>
      </c>
      <c r="D151" s="5" t="s">
        <v>1839</v>
      </c>
      <c r="E151" s="5" t="s">
        <v>1876</v>
      </c>
      <c r="F151" s="5" t="s">
        <v>1877</v>
      </c>
      <c r="G151" s="5" t="s">
        <v>16</v>
      </c>
      <c r="H151" s="5" t="s">
        <v>77</v>
      </c>
      <c r="I151" s="5" t="s">
        <v>145</v>
      </c>
      <c r="J151" s="5" t="s">
        <v>1878</v>
      </c>
      <c r="K151" s="5" t="s">
        <v>1879</v>
      </c>
      <c r="L151" s="5" t="s">
        <v>1880</v>
      </c>
      <c r="M151" s="5" t="s">
        <v>1881</v>
      </c>
      <c r="N151" s="5" t="s">
        <v>1882</v>
      </c>
      <c r="O151" s="5" t="s">
        <v>1883</v>
      </c>
      <c r="P151" s="5" t="s">
        <v>1884</v>
      </c>
      <c r="Q151" s="5" t="s">
        <v>139</v>
      </c>
      <c r="R151" s="5" t="s">
        <v>407</v>
      </c>
      <c r="S151" s="5" t="s">
        <v>14</v>
      </c>
      <c r="T151" s="5" t="s">
        <v>70</v>
      </c>
      <c r="U151" s="5" t="s">
        <v>1885</v>
      </c>
      <c r="V151" s="5" t="s">
        <v>72</v>
      </c>
      <c r="W151" s="5"/>
    </row>
    <row r="152" spans="1:23" ht="21" customHeight="1">
      <c r="A152" s="5" t="s">
        <v>1886</v>
      </c>
      <c r="B152" s="5" t="s">
        <v>24</v>
      </c>
      <c r="C152" s="5" t="s">
        <v>1676</v>
      </c>
      <c r="D152" s="5" t="s">
        <v>1887</v>
      </c>
      <c r="E152" s="5" t="s">
        <v>1888</v>
      </c>
      <c r="F152" s="5" t="s">
        <v>1889</v>
      </c>
      <c r="G152" s="5" t="s">
        <v>20</v>
      </c>
      <c r="H152" s="5" t="s">
        <v>1890</v>
      </c>
      <c r="I152" s="5" t="s">
        <v>105</v>
      </c>
      <c r="J152" s="5" t="s">
        <v>1891</v>
      </c>
      <c r="K152" s="5" t="s">
        <v>1892</v>
      </c>
      <c r="L152" s="5" t="s">
        <v>1893</v>
      </c>
      <c r="M152" s="5" t="s">
        <v>1894</v>
      </c>
      <c r="N152" s="5" t="s">
        <v>1895</v>
      </c>
      <c r="O152" s="5" t="s">
        <v>1896</v>
      </c>
      <c r="P152" s="5" t="s">
        <v>1897</v>
      </c>
      <c r="Q152" s="5" t="s">
        <v>1898</v>
      </c>
      <c r="R152" s="5" t="s">
        <v>1899</v>
      </c>
      <c r="S152" s="5" t="s">
        <v>22</v>
      </c>
      <c r="T152" s="5" t="s">
        <v>346</v>
      </c>
      <c r="U152" s="5" t="s">
        <v>1900</v>
      </c>
      <c r="V152" s="5" t="s">
        <v>72</v>
      </c>
      <c r="W152" s="5"/>
    </row>
    <row r="153" spans="1:23" ht="21" customHeight="1">
      <c r="A153" s="5" t="s">
        <v>1901</v>
      </c>
      <c r="B153" s="5" t="s">
        <v>24</v>
      </c>
      <c r="C153" s="5" t="s">
        <v>1676</v>
      </c>
      <c r="D153" s="5" t="s">
        <v>1902</v>
      </c>
      <c r="E153" s="5" t="s">
        <v>1903</v>
      </c>
      <c r="F153" s="5" t="s">
        <v>1904</v>
      </c>
      <c r="G153" s="5" t="s">
        <v>16</v>
      </c>
      <c r="H153" s="5" t="s">
        <v>77</v>
      </c>
      <c r="I153" s="5" t="s">
        <v>145</v>
      </c>
      <c r="J153" s="5" t="s">
        <v>1905</v>
      </c>
      <c r="K153" s="5" t="s">
        <v>1906</v>
      </c>
      <c r="L153" s="5" t="s">
        <v>1907</v>
      </c>
      <c r="M153" s="5" t="s">
        <v>1908</v>
      </c>
      <c r="N153" s="5" t="s">
        <v>1909</v>
      </c>
      <c r="O153" s="5" t="s">
        <v>1910</v>
      </c>
      <c r="P153" s="5" t="s">
        <v>1911</v>
      </c>
      <c r="Q153" s="5" t="s">
        <v>1912</v>
      </c>
      <c r="R153" s="5" t="s">
        <v>205</v>
      </c>
      <c r="S153" s="5" t="s">
        <v>16</v>
      </c>
      <c r="T153" s="5" t="s">
        <v>70</v>
      </c>
      <c r="U153" s="5" t="s">
        <v>1913</v>
      </c>
      <c r="V153" s="5" t="s">
        <v>72</v>
      </c>
      <c r="W153" s="5"/>
    </row>
    <row r="154" spans="1:23" ht="21" customHeight="1">
      <c r="A154" s="5" t="s">
        <v>1914</v>
      </c>
      <c r="B154" s="5" t="s">
        <v>24</v>
      </c>
      <c r="C154" s="5" t="s">
        <v>1676</v>
      </c>
      <c r="D154" s="5" t="s">
        <v>1902</v>
      </c>
      <c r="E154" s="5" t="s">
        <v>1915</v>
      </c>
      <c r="F154" s="5" t="s">
        <v>1916</v>
      </c>
      <c r="G154" s="5" t="s">
        <v>18</v>
      </c>
      <c r="H154" s="5" t="s">
        <v>77</v>
      </c>
      <c r="I154" s="5" t="s">
        <v>159</v>
      </c>
      <c r="J154" s="5" t="s">
        <v>1917</v>
      </c>
      <c r="K154" s="5" t="s">
        <v>1918</v>
      </c>
      <c r="L154" s="5" t="s">
        <v>1919</v>
      </c>
      <c r="M154" s="5" t="s">
        <v>1920</v>
      </c>
      <c r="N154" s="5" t="s">
        <v>1921</v>
      </c>
      <c r="O154" s="5" t="s">
        <v>1922</v>
      </c>
      <c r="P154" s="5" t="s">
        <v>1923</v>
      </c>
      <c r="Q154" s="5" t="s">
        <v>1924</v>
      </c>
      <c r="R154" s="5" t="s">
        <v>100</v>
      </c>
      <c r="S154" s="5" t="s">
        <v>14</v>
      </c>
      <c r="T154" s="5" t="s">
        <v>70</v>
      </c>
      <c r="U154" s="5" t="s">
        <v>1925</v>
      </c>
      <c r="V154" s="5" t="s">
        <v>72</v>
      </c>
      <c r="W154" s="5"/>
    </row>
    <row r="155" spans="1:23" ht="21" customHeight="1">
      <c r="A155" s="5" t="s">
        <v>1926</v>
      </c>
      <c r="B155" s="5" t="s">
        <v>24</v>
      </c>
      <c r="C155" s="5" t="s">
        <v>1676</v>
      </c>
      <c r="D155" s="5" t="s">
        <v>1927</v>
      </c>
      <c r="E155" s="5" t="s">
        <v>1928</v>
      </c>
      <c r="F155" s="5" t="s">
        <v>1929</v>
      </c>
      <c r="G155" s="5" t="s">
        <v>18</v>
      </c>
      <c r="H155" s="5" t="s">
        <v>77</v>
      </c>
      <c r="I155" s="5" t="s">
        <v>159</v>
      </c>
      <c r="J155" s="5" t="s">
        <v>1930</v>
      </c>
      <c r="K155" s="5" t="s">
        <v>1931</v>
      </c>
      <c r="L155" s="5" t="s">
        <v>1932</v>
      </c>
      <c r="M155" s="5" t="s">
        <v>1933</v>
      </c>
      <c r="N155" s="5" t="s">
        <v>1934</v>
      </c>
      <c r="O155" s="5" t="s">
        <v>1935</v>
      </c>
      <c r="P155" s="5" t="s">
        <v>1936</v>
      </c>
      <c r="Q155" s="5" t="s">
        <v>1937</v>
      </c>
      <c r="R155" s="5" t="s">
        <v>100</v>
      </c>
      <c r="S155" s="5" t="s">
        <v>14</v>
      </c>
      <c r="T155" s="5" t="s">
        <v>70</v>
      </c>
      <c r="U155" s="5" t="s">
        <v>1938</v>
      </c>
      <c r="V155" s="5" t="s">
        <v>72</v>
      </c>
      <c r="W155" s="5"/>
    </row>
    <row r="156" spans="1:23" ht="21" customHeight="1">
      <c r="A156" s="5" t="s">
        <v>1939</v>
      </c>
      <c r="B156" s="5" t="s">
        <v>24</v>
      </c>
      <c r="C156" s="5" t="s">
        <v>1676</v>
      </c>
      <c r="D156" s="5" t="s">
        <v>1927</v>
      </c>
      <c r="E156" s="5" t="s">
        <v>1940</v>
      </c>
      <c r="F156" s="5" t="s">
        <v>1941</v>
      </c>
      <c r="G156" s="5" t="s">
        <v>18</v>
      </c>
      <c r="H156" s="5" t="s">
        <v>77</v>
      </c>
      <c r="I156" s="5" t="s">
        <v>159</v>
      </c>
      <c r="J156" s="5" t="s">
        <v>1942</v>
      </c>
      <c r="K156" s="5" t="s">
        <v>1943</v>
      </c>
      <c r="L156" s="5" t="s">
        <v>1944</v>
      </c>
      <c r="M156" s="5" t="s">
        <v>1945</v>
      </c>
      <c r="N156" s="5" t="s">
        <v>1946</v>
      </c>
      <c r="O156" s="5" t="s">
        <v>1947</v>
      </c>
      <c r="P156" s="5" t="s">
        <v>1948</v>
      </c>
      <c r="Q156" s="5" t="s">
        <v>1949</v>
      </c>
      <c r="R156" s="5" t="s">
        <v>100</v>
      </c>
      <c r="S156" s="5" t="s">
        <v>14</v>
      </c>
      <c r="T156" s="5" t="s">
        <v>70</v>
      </c>
      <c r="U156" s="5" t="s">
        <v>1950</v>
      </c>
      <c r="V156" s="5" t="s">
        <v>72</v>
      </c>
      <c r="W156" s="5"/>
    </row>
    <row r="157" spans="1:23" ht="21" customHeight="1">
      <c r="A157" s="5" t="s">
        <v>1951</v>
      </c>
      <c r="B157" s="5" t="s">
        <v>24</v>
      </c>
      <c r="C157" s="5" t="s">
        <v>1676</v>
      </c>
      <c r="D157" s="5" t="s">
        <v>1927</v>
      </c>
      <c r="E157" s="5" t="s">
        <v>1952</v>
      </c>
      <c r="F157" s="5" t="s">
        <v>1953</v>
      </c>
      <c r="G157" s="5" t="s">
        <v>20</v>
      </c>
      <c r="H157" s="5" t="s">
        <v>59</v>
      </c>
      <c r="I157" s="5" t="s">
        <v>437</v>
      </c>
      <c r="J157" s="5" t="s">
        <v>1954</v>
      </c>
      <c r="K157" s="5" t="s">
        <v>1955</v>
      </c>
      <c r="L157" s="5" t="s">
        <v>1956</v>
      </c>
      <c r="M157" s="5" t="s">
        <v>1957</v>
      </c>
      <c r="N157" s="5" t="s">
        <v>1958</v>
      </c>
      <c r="O157" s="5" t="s">
        <v>1959</v>
      </c>
      <c r="P157" s="5" t="s">
        <v>1960</v>
      </c>
      <c r="Q157" s="5" t="s">
        <v>919</v>
      </c>
      <c r="R157" s="5" t="s">
        <v>1961</v>
      </c>
      <c r="S157" s="5" t="s">
        <v>20</v>
      </c>
      <c r="T157" s="5" t="s">
        <v>70</v>
      </c>
      <c r="U157" s="5" t="s">
        <v>1962</v>
      </c>
      <c r="V157" s="5" t="s">
        <v>72</v>
      </c>
      <c r="W157" s="5"/>
    </row>
    <row r="158" spans="1:23" ht="21" customHeight="1">
      <c r="A158" s="5" t="s">
        <v>1963</v>
      </c>
      <c r="B158" s="5" t="s">
        <v>24</v>
      </c>
      <c r="C158" s="5" t="s">
        <v>1676</v>
      </c>
      <c r="D158" s="5" t="s">
        <v>1964</v>
      </c>
      <c r="E158" s="5" t="s">
        <v>1965</v>
      </c>
      <c r="F158" s="5" t="s">
        <v>1966</v>
      </c>
      <c r="G158" s="5" t="s">
        <v>18</v>
      </c>
      <c r="H158" s="5" t="s">
        <v>77</v>
      </c>
      <c r="I158" s="5" t="s">
        <v>159</v>
      </c>
      <c r="J158" s="5" t="s">
        <v>1967</v>
      </c>
      <c r="K158" s="5" t="s">
        <v>1968</v>
      </c>
      <c r="L158" s="5" t="s">
        <v>1969</v>
      </c>
      <c r="M158" s="5" t="s">
        <v>1970</v>
      </c>
      <c r="N158" s="5" t="s">
        <v>1971</v>
      </c>
      <c r="O158" s="5" t="s">
        <v>1972</v>
      </c>
      <c r="P158" s="5" t="s">
        <v>1973</v>
      </c>
      <c r="Q158" s="5" t="s">
        <v>1974</v>
      </c>
      <c r="R158" s="5" t="s">
        <v>100</v>
      </c>
      <c r="S158" s="5" t="s">
        <v>14</v>
      </c>
      <c r="T158" s="5" t="s">
        <v>70</v>
      </c>
      <c r="U158" s="5" t="s">
        <v>1975</v>
      </c>
      <c r="V158" s="5" t="s">
        <v>72</v>
      </c>
      <c r="W158" s="5"/>
    </row>
    <row r="159" spans="1:23" ht="21" customHeight="1">
      <c r="A159" s="5" t="s">
        <v>1976</v>
      </c>
      <c r="B159" s="5" t="s">
        <v>24</v>
      </c>
      <c r="C159" s="5" t="s">
        <v>1676</v>
      </c>
      <c r="D159" s="5" t="s">
        <v>1977</v>
      </c>
      <c r="E159" s="5" t="s">
        <v>1978</v>
      </c>
      <c r="F159" s="5" t="s">
        <v>1979</v>
      </c>
      <c r="G159" s="5" t="s">
        <v>18</v>
      </c>
      <c r="H159" s="5" t="s">
        <v>77</v>
      </c>
      <c r="I159" s="5" t="s">
        <v>159</v>
      </c>
      <c r="J159" s="5" t="s">
        <v>1980</v>
      </c>
      <c r="K159" s="5" t="s">
        <v>1981</v>
      </c>
      <c r="L159" s="5" t="s">
        <v>1982</v>
      </c>
      <c r="M159" s="5" t="s">
        <v>1983</v>
      </c>
      <c r="N159" s="5" t="s">
        <v>1984</v>
      </c>
      <c r="O159" s="5" t="s">
        <v>1985</v>
      </c>
      <c r="P159" s="5" t="s">
        <v>1986</v>
      </c>
      <c r="Q159" s="5" t="s">
        <v>1987</v>
      </c>
      <c r="R159" s="5" t="s">
        <v>100</v>
      </c>
      <c r="S159" s="5" t="s">
        <v>14</v>
      </c>
      <c r="T159" s="5" t="s">
        <v>70</v>
      </c>
      <c r="U159" s="5" t="s">
        <v>1988</v>
      </c>
      <c r="V159" s="5" t="s">
        <v>72</v>
      </c>
      <c r="W159" s="5"/>
    </row>
    <row r="160" spans="1:23" ht="21" customHeight="1">
      <c r="A160" s="5" t="s">
        <v>1989</v>
      </c>
      <c r="B160" s="5" t="s">
        <v>24</v>
      </c>
      <c r="C160" s="5" t="s">
        <v>1676</v>
      </c>
      <c r="D160" s="5" t="s">
        <v>1977</v>
      </c>
      <c r="E160" s="5" t="s">
        <v>1990</v>
      </c>
      <c r="F160" s="5" t="s">
        <v>1991</v>
      </c>
      <c r="G160" s="5" t="s">
        <v>20</v>
      </c>
      <c r="H160" s="5" t="s">
        <v>77</v>
      </c>
      <c r="I160" s="5" t="s">
        <v>527</v>
      </c>
      <c r="J160" s="5" t="s">
        <v>1992</v>
      </c>
      <c r="K160" s="5" t="s">
        <v>1993</v>
      </c>
      <c r="L160" s="5" t="s">
        <v>1994</v>
      </c>
      <c r="M160" s="5" t="s">
        <v>1995</v>
      </c>
      <c r="N160" s="5" t="s">
        <v>1996</v>
      </c>
      <c r="O160" s="5" t="s">
        <v>1997</v>
      </c>
      <c r="P160" s="5" t="s">
        <v>1998</v>
      </c>
      <c r="Q160" s="5" t="s">
        <v>919</v>
      </c>
      <c r="R160" s="5" t="s">
        <v>1066</v>
      </c>
      <c r="S160" s="5" t="s">
        <v>18</v>
      </c>
      <c r="T160" s="5" t="s">
        <v>70</v>
      </c>
      <c r="U160" s="5" t="s">
        <v>1999</v>
      </c>
      <c r="V160" s="5" t="s">
        <v>72</v>
      </c>
      <c r="W160" s="5"/>
    </row>
    <row r="161" spans="1:23" ht="21" customHeight="1">
      <c r="A161" s="5" t="s">
        <v>2000</v>
      </c>
      <c r="B161" s="5" t="s">
        <v>24</v>
      </c>
      <c r="C161" s="5" t="s">
        <v>1676</v>
      </c>
      <c r="D161" s="5" t="s">
        <v>1977</v>
      </c>
      <c r="E161" s="5" t="s">
        <v>2001</v>
      </c>
      <c r="F161" s="5" t="s">
        <v>2002</v>
      </c>
      <c r="G161" s="5" t="s">
        <v>18</v>
      </c>
      <c r="H161" s="5" t="s">
        <v>59</v>
      </c>
      <c r="I161" s="5" t="s">
        <v>60</v>
      </c>
      <c r="J161" s="5" t="s">
        <v>2003</v>
      </c>
      <c r="K161" s="5" t="s">
        <v>2004</v>
      </c>
      <c r="L161" s="5" t="s">
        <v>2005</v>
      </c>
      <c r="M161" s="5" t="s">
        <v>2006</v>
      </c>
      <c r="N161" s="5" t="s">
        <v>2007</v>
      </c>
      <c r="O161" s="5" t="s">
        <v>2008</v>
      </c>
      <c r="P161" s="5" t="s">
        <v>847</v>
      </c>
      <c r="Q161" s="5" t="s">
        <v>2009</v>
      </c>
      <c r="R161" s="5" t="s">
        <v>1510</v>
      </c>
      <c r="S161" s="5" t="s">
        <v>16</v>
      </c>
      <c r="T161" s="5" t="s">
        <v>2010</v>
      </c>
      <c r="U161" s="5" t="s">
        <v>2011</v>
      </c>
      <c r="V161" s="5" t="s">
        <v>72</v>
      </c>
      <c r="W161" s="5"/>
    </row>
    <row r="162" spans="1:23" ht="21" customHeight="1">
      <c r="A162" s="5" t="s">
        <v>2012</v>
      </c>
      <c r="B162" s="5" t="s">
        <v>25</v>
      </c>
      <c r="C162" s="5" t="s">
        <v>2013</v>
      </c>
      <c r="D162" s="5" t="s">
        <v>2014</v>
      </c>
      <c r="E162" s="5" t="s">
        <v>2015</v>
      </c>
      <c r="F162" s="5" t="s">
        <v>2016</v>
      </c>
      <c r="G162" s="5" t="s">
        <v>20</v>
      </c>
      <c r="H162" s="5" t="s">
        <v>2017</v>
      </c>
      <c r="I162" s="5" t="s">
        <v>2018</v>
      </c>
      <c r="J162" s="5" t="s">
        <v>2019</v>
      </c>
      <c r="K162" s="5" t="s">
        <v>2020</v>
      </c>
      <c r="L162" s="5" t="s">
        <v>2021</v>
      </c>
      <c r="M162" s="5" t="s">
        <v>2022</v>
      </c>
      <c r="N162" s="5" t="s">
        <v>2023</v>
      </c>
      <c r="O162" s="5" t="s">
        <v>2024</v>
      </c>
      <c r="P162" s="5" t="s">
        <v>2025</v>
      </c>
      <c r="Q162" s="5" t="s">
        <v>2026</v>
      </c>
      <c r="R162" s="5" t="s">
        <v>2027</v>
      </c>
      <c r="S162" s="5" t="s">
        <v>16</v>
      </c>
      <c r="T162" s="5" t="s">
        <v>70</v>
      </c>
      <c r="U162" s="5" t="s">
        <v>2028</v>
      </c>
      <c r="V162" s="5" t="s">
        <v>72</v>
      </c>
      <c r="W162" s="5"/>
    </row>
    <row r="163" spans="1:23" ht="21" customHeight="1">
      <c r="A163" s="5" t="s">
        <v>2029</v>
      </c>
      <c r="B163" s="5" t="s">
        <v>25</v>
      </c>
      <c r="C163" s="5" t="s">
        <v>2013</v>
      </c>
      <c r="D163" s="5" t="s">
        <v>2030</v>
      </c>
      <c r="E163" s="5" t="s">
        <v>2031</v>
      </c>
      <c r="F163" s="5" t="s">
        <v>2032</v>
      </c>
      <c r="G163" s="5" t="s">
        <v>16</v>
      </c>
      <c r="H163" s="5" t="s">
        <v>77</v>
      </c>
      <c r="I163" s="5" t="s">
        <v>145</v>
      </c>
      <c r="J163" s="5" t="s">
        <v>2033</v>
      </c>
      <c r="K163" s="5" t="s">
        <v>2034</v>
      </c>
      <c r="L163" s="5" t="s">
        <v>2035</v>
      </c>
      <c r="M163" s="5" t="s">
        <v>2036</v>
      </c>
      <c r="N163" s="5" t="s">
        <v>2037</v>
      </c>
      <c r="O163" s="5" t="s">
        <v>2038</v>
      </c>
      <c r="P163" s="5" t="s">
        <v>2039</v>
      </c>
      <c r="Q163" s="5" t="s">
        <v>2040</v>
      </c>
      <c r="R163" s="5" t="s">
        <v>548</v>
      </c>
      <c r="S163" s="5" t="s">
        <v>16</v>
      </c>
      <c r="T163" s="5" t="s">
        <v>70</v>
      </c>
      <c r="U163" s="5" t="s">
        <v>2041</v>
      </c>
      <c r="V163" s="5" t="s">
        <v>72</v>
      </c>
      <c r="W163" s="5"/>
    </row>
    <row r="164" spans="1:23" ht="21" customHeight="1">
      <c r="A164" s="5" t="s">
        <v>2042</v>
      </c>
      <c r="B164" s="5" t="s">
        <v>25</v>
      </c>
      <c r="C164" s="5" t="s">
        <v>2013</v>
      </c>
      <c r="D164" s="5" t="s">
        <v>2043</v>
      </c>
      <c r="E164" s="5" t="s">
        <v>2044</v>
      </c>
      <c r="F164" s="5" t="s">
        <v>2045</v>
      </c>
      <c r="G164" s="5" t="s">
        <v>16</v>
      </c>
      <c r="H164" s="5" t="s">
        <v>77</v>
      </c>
      <c r="I164" s="5" t="s">
        <v>159</v>
      </c>
      <c r="J164" s="5" t="s">
        <v>2046</v>
      </c>
      <c r="K164" s="5" t="s">
        <v>2047</v>
      </c>
      <c r="L164" s="5" t="s">
        <v>2048</v>
      </c>
      <c r="M164" s="5" t="s">
        <v>2049</v>
      </c>
      <c r="N164" s="5" t="s">
        <v>2050</v>
      </c>
      <c r="O164" s="5" t="s">
        <v>2051</v>
      </c>
      <c r="P164" s="5" t="s">
        <v>1262</v>
      </c>
      <c r="Q164" s="5" t="s">
        <v>1005</v>
      </c>
      <c r="R164" s="5" t="s">
        <v>407</v>
      </c>
      <c r="S164" s="5" t="s">
        <v>14</v>
      </c>
      <c r="T164" s="5" t="s">
        <v>70</v>
      </c>
      <c r="U164" s="5" t="s">
        <v>2052</v>
      </c>
      <c r="V164" s="5" t="s">
        <v>72</v>
      </c>
      <c r="W164" s="5"/>
    </row>
    <row r="165" spans="1:23" ht="21" customHeight="1">
      <c r="A165" s="5" t="s">
        <v>2053</v>
      </c>
      <c r="B165" s="5" t="s">
        <v>25</v>
      </c>
      <c r="C165" s="5" t="s">
        <v>2013</v>
      </c>
      <c r="D165" s="5" t="s">
        <v>2043</v>
      </c>
      <c r="E165" s="5" t="s">
        <v>2054</v>
      </c>
      <c r="F165" s="5" t="s">
        <v>2055</v>
      </c>
      <c r="G165" s="5" t="s">
        <v>18</v>
      </c>
      <c r="H165" s="5" t="s">
        <v>77</v>
      </c>
      <c r="I165" s="5" t="s">
        <v>105</v>
      </c>
      <c r="J165" s="5" t="s">
        <v>2056</v>
      </c>
      <c r="K165" s="5" t="s">
        <v>2057</v>
      </c>
      <c r="L165" s="5" t="s">
        <v>2058</v>
      </c>
      <c r="M165" s="5" t="s">
        <v>2059</v>
      </c>
      <c r="N165" s="5" t="s">
        <v>2060</v>
      </c>
      <c r="O165" s="5" t="s">
        <v>2061</v>
      </c>
      <c r="P165" s="5" t="s">
        <v>2062</v>
      </c>
      <c r="Q165" s="5" t="s">
        <v>919</v>
      </c>
      <c r="R165" s="5" t="s">
        <v>2063</v>
      </c>
      <c r="S165" s="5" t="s">
        <v>20</v>
      </c>
      <c r="T165" s="5" t="s">
        <v>1379</v>
      </c>
      <c r="U165" s="5" t="s">
        <v>2064</v>
      </c>
      <c r="V165" s="5" t="s">
        <v>72</v>
      </c>
      <c r="W165" s="5"/>
    </row>
    <row r="166" spans="1:23" ht="21" customHeight="1">
      <c r="A166" s="5" t="s">
        <v>2065</v>
      </c>
      <c r="B166" s="5" t="s">
        <v>25</v>
      </c>
      <c r="C166" s="5" t="s">
        <v>2013</v>
      </c>
      <c r="D166" s="5" t="s">
        <v>2066</v>
      </c>
      <c r="E166" s="5" t="s">
        <v>2067</v>
      </c>
      <c r="F166" s="5" t="s">
        <v>2068</v>
      </c>
      <c r="G166" s="5" t="s">
        <v>16</v>
      </c>
      <c r="H166" s="5" t="s">
        <v>77</v>
      </c>
      <c r="I166" s="5" t="s">
        <v>145</v>
      </c>
      <c r="J166" s="5" t="s">
        <v>2069</v>
      </c>
      <c r="K166" s="5" t="s">
        <v>2070</v>
      </c>
      <c r="L166" s="5" t="s">
        <v>2071</v>
      </c>
      <c r="M166" s="5" t="s">
        <v>2072</v>
      </c>
      <c r="N166" s="5" t="s">
        <v>2073</v>
      </c>
      <c r="O166" s="5" t="s">
        <v>2074</v>
      </c>
      <c r="P166" s="5" t="s">
        <v>2075</v>
      </c>
      <c r="Q166" s="5" t="s">
        <v>2076</v>
      </c>
      <c r="R166" s="5" t="s">
        <v>87</v>
      </c>
      <c r="S166" s="5" t="s">
        <v>14</v>
      </c>
      <c r="T166" s="5" t="s">
        <v>70</v>
      </c>
      <c r="U166" s="5" t="s">
        <v>2077</v>
      </c>
      <c r="V166" s="5" t="s">
        <v>72</v>
      </c>
      <c r="W166" s="5"/>
    </row>
    <row r="167" spans="1:23" ht="21" customHeight="1">
      <c r="A167" s="5" t="s">
        <v>2078</v>
      </c>
      <c r="B167" s="5" t="s">
        <v>25</v>
      </c>
      <c r="C167" s="5" t="s">
        <v>2013</v>
      </c>
      <c r="D167" s="5" t="s">
        <v>2079</v>
      </c>
      <c r="E167" s="5" t="s">
        <v>2080</v>
      </c>
      <c r="F167" s="5" t="s">
        <v>2081</v>
      </c>
      <c r="G167" s="5" t="s">
        <v>20</v>
      </c>
      <c r="H167" s="5" t="s">
        <v>59</v>
      </c>
      <c r="I167" s="5" t="s">
        <v>437</v>
      </c>
      <c r="J167" s="5" t="s">
        <v>2082</v>
      </c>
      <c r="K167" s="5" t="s">
        <v>2083</v>
      </c>
      <c r="L167" s="5" t="s">
        <v>2084</v>
      </c>
      <c r="M167" s="5" t="s">
        <v>2085</v>
      </c>
      <c r="N167" s="5" t="s">
        <v>2086</v>
      </c>
      <c r="O167" s="5" t="s">
        <v>2087</v>
      </c>
      <c r="P167" s="5" t="s">
        <v>2088</v>
      </c>
      <c r="Q167" s="5" t="s">
        <v>2089</v>
      </c>
      <c r="R167" s="5" t="s">
        <v>2090</v>
      </c>
      <c r="S167" s="5" t="s">
        <v>16</v>
      </c>
      <c r="T167" s="5" t="s">
        <v>70</v>
      </c>
      <c r="U167" s="5" t="s">
        <v>2091</v>
      </c>
      <c r="V167" s="5" t="s">
        <v>72</v>
      </c>
      <c r="W167" s="5"/>
    </row>
    <row r="168" spans="1:23" ht="21" customHeight="1">
      <c r="A168" s="5" t="s">
        <v>2092</v>
      </c>
      <c r="B168" s="5" t="s">
        <v>25</v>
      </c>
      <c r="C168" s="5" t="s">
        <v>2013</v>
      </c>
      <c r="D168" s="5" t="s">
        <v>2093</v>
      </c>
      <c r="E168" s="5" t="s">
        <v>2094</v>
      </c>
      <c r="F168" s="5" t="s">
        <v>2095</v>
      </c>
      <c r="G168" s="5" t="s">
        <v>18</v>
      </c>
      <c r="H168" s="5" t="s">
        <v>77</v>
      </c>
      <c r="I168" s="5" t="s">
        <v>60</v>
      </c>
      <c r="J168" s="5" t="s">
        <v>2096</v>
      </c>
      <c r="K168" s="5" t="s">
        <v>2097</v>
      </c>
      <c r="L168" s="5" t="s">
        <v>2098</v>
      </c>
      <c r="M168" s="5" t="s">
        <v>2099</v>
      </c>
      <c r="N168" s="5" t="s">
        <v>2100</v>
      </c>
      <c r="O168" s="5" t="s">
        <v>2101</v>
      </c>
      <c r="P168" s="5" t="s">
        <v>2102</v>
      </c>
      <c r="Q168" s="5" t="s">
        <v>2103</v>
      </c>
      <c r="R168" s="5" t="s">
        <v>1079</v>
      </c>
      <c r="S168" s="5" t="s">
        <v>20</v>
      </c>
      <c r="T168" s="5" t="s">
        <v>1379</v>
      </c>
      <c r="U168" s="5" t="s">
        <v>2104</v>
      </c>
      <c r="V168" s="5" t="s">
        <v>72</v>
      </c>
      <c r="W168" s="5"/>
    </row>
    <row r="169" spans="1:23" ht="21" customHeight="1">
      <c r="A169" s="5" t="s">
        <v>2105</v>
      </c>
      <c r="B169" s="5" t="s">
        <v>25</v>
      </c>
      <c r="C169" s="5" t="s">
        <v>2013</v>
      </c>
      <c r="D169" s="5" t="s">
        <v>2093</v>
      </c>
      <c r="E169" s="5" t="s">
        <v>2106</v>
      </c>
      <c r="F169" s="5" t="s">
        <v>2107</v>
      </c>
      <c r="G169" s="5" t="s">
        <v>20</v>
      </c>
      <c r="H169" s="5" t="s">
        <v>77</v>
      </c>
      <c r="I169" s="5" t="s">
        <v>60</v>
      </c>
      <c r="J169" s="5" t="s">
        <v>2108</v>
      </c>
      <c r="K169" s="5" t="s">
        <v>2109</v>
      </c>
      <c r="L169" s="5" t="s">
        <v>2110</v>
      </c>
      <c r="M169" s="5" t="s">
        <v>2111</v>
      </c>
      <c r="N169" s="5" t="s">
        <v>2112</v>
      </c>
      <c r="O169" s="5" t="s">
        <v>2113</v>
      </c>
      <c r="P169" s="5" t="s">
        <v>2114</v>
      </c>
      <c r="Q169" s="5" t="s">
        <v>1367</v>
      </c>
      <c r="R169" s="5" t="s">
        <v>863</v>
      </c>
      <c r="S169" s="5" t="s">
        <v>22</v>
      </c>
      <c r="T169" s="5" t="s">
        <v>864</v>
      </c>
      <c r="U169" s="5" t="s">
        <v>2115</v>
      </c>
      <c r="V169" s="5" t="s">
        <v>72</v>
      </c>
      <c r="W169" s="5"/>
    </row>
    <row r="170" spans="1:23" ht="21" customHeight="1">
      <c r="A170" s="5" t="s">
        <v>2116</v>
      </c>
      <c r="B170" s="5" t="s">
        <v>25</v>
      </c>
      <c r="C170" s="5" t="s">
        <v>2013</v>
      </c>
      <c r="D170" s="5" t="s">
        <v>2117</v>
      </c>
      <c r="E170" s="5" t="s">
        <v>2118</v>
      </c>
      <c r="F170" s="5" t="s">
        <v>2119</v>
      </c>
      <c r="G170" s="5" t="s">
        <v>20</v>
      </c>
      <c r="H170" s="5" t="s">
        <v>59</v>
      </c>
      <c r="I170" s="5" t="s">
        <v>437</v>
      </c>
      <c r="J170" s="5" t="s">
        <v>2120</v>
      </c>
      <c r="K170" s="5" t="s">
        <v>2121</v>
      </c>
      <c r="L170" s="5" t="s">
        <v>2122</v>
      </c>
      <c r="M170" s="5" t="s">
        <v>2123</v>
      </c>
      <c r="N170" s="5" t="s">
        <v>2124</v>
      </c>
      <c r="O170" s="5" t="s">
        <v>2125</v>
      </c>
      <c r="P170" s="5" t="s">
        <v>2126</v>
      </c>
      <c r="Q170" s="5" t="s">
        <v>2127</v>
      </c>
      <c r="R170" s="5" t="s">
        <v>2128</v>
      </c>
      <c r="S170" s="5" t="s">
        <v>14</v>
      </c>
      <c r="T170" s="5" t="s">
        <v>70</v>
      </c>
      <c r="U170" s="5" t="s">
        <v>2129</v>
      </c>
      <c r="V170" s="5" t="s">
        <v>72</v>
      </c>
      <c r="W170" s="5"/>
    </row>
    <row r="171" spans="1:23" ht="21" customHeight="1">
      <c r="A171" s="5" t="s">
        <v>2130</v>
      </c>
      <c r="B171" s="5" t="s">
        <v>25</v>
      </c>
      <c r="C171" s="5" t="s">
        <v>2013</v>
      </c>
      <c r="D171" s="5" t="s">
        <v>332</v>
      </c>
      <c r="E171" s="5" t="s">
        <v>2131</v>
      </c>
      <c r="F171" s="5" t="s">
        <v>2132</v>
      </c>
      <c r="G171" s="5" t="s">
        <v>20</v>
      </c>
      <c r="H171" s="5" t="s">
        <v>2133</v>
      </c>
      <c r="I171" s="5" t="s">
        <v>336</v>
      </c>
      <c r="J171" s="5" t="s">
        <v>2134</v>
      </c>
      <c r="K171" s="5" t="s">
        <v>2135</v>
      </c>
      <c r="L171" s="5" t="s">
        <v>1565</v>
      </c>
      <c r="M171" s="5" t="s">
        <v>2136</v>
      </c>
      <c r="N171" s="5" t="s">
        <v>2137</v>
      </c>
      <c r="O171" s="5" t="s">
        <v>2138</v>
      </c>
      <c r="P171" s="5" t="s">
        <v>1127</v>
      </c>
      <c r="Q171" s="5" t="s">
        <v>2139</v>
      </c>
      <c r="R171" s="5" t="s">
        <v>1571</v>
      </c>
      <c r="S171" s="5" t="s">
        <v>22</v>
      </c>
      <c r="T171" s="5" t="s">
        <v>346</v>
      </c>
      <c r="U171" s="5" t="s">
        <v>2140</v>
      </c>
      <c r="V171" s="5" t="s">
        <v>72</v>
      </c>
      <c r="W171" s="5"/>
    </row>
    <row r="172" spans="1:23" ht="21" customHeight="1">
      <c r="A172" s="5" t="s">
        <v>2141</v>
      </c>
      <c r="B172" s="5" t="s">
        <v>25</v>
      </c>
      <c r="C172" s="5" t="s">
        <v>2013</v>
      </c>
      <c r="D172" s="5" t="s">
        <v>2142</v>
      </c>
      <c r="E172" s="5" t="s">
        <v>2143</v>
      </c>
      <c r="F172" s="5" t="s">
        <v>2144</v>
      </c>
      <c r="G172" s="5" t="s">
        <v>16</v>
      </c>
      <c r="H172" s="5" t="s">
        <v>77</v>
      </c>
      <c r="I172" s="5" t="s">
        <v>159</v>
      </c>
      <c r="J172" s="5" t="s">
        <v>2145</v>
      </c>
      <c r="K172" s="5" t="s">
        <v>2146</v>
      </c>
      <c r="L172" s="5" t="s">
        <v>2147</v>
      </c>
      <c r="M172" s="5" t="s">
        <v>2148</v>
      </c>
      <c r="N172" s="5" t="s">
        <v>2149</v>
      </c>
      <c r="O172" s="5" t="s">
        <v>2150</v>
      </c>
      <c r="P172" s="5" t="s">
        <v>2151</v>
      </c>
      <c r="Q172" s="5" t="s">
        <v>1028</v>
      </c>
      <c r="R172" s="5" t="s">
        <v>100</v>
      </c>
      <c r="S172" s="5" t="s">
        <v>14</v>
      </c>
      <c r="T172" s="5" t="s">
        <v>70</v>
      </c>
      <c r="U172" s="5" t="s">
        <v>2152</v>
      </c>
      <c r="V172" s="5" t="s">
        <v>72</v>
      </c>
      <c r="W172" s="5"/>
    </row>
    <row r="173" spans="1:23" ht="21" customHeight="1">
      <c r="A173" s="5" t="s">
        <v>2153</v>
      </c>
      <c r="B173" s="5" t="s">
        <v>25</v>
      </c>
      <c r="C173" s="5" t="s">
        <v>2013</v>
      </c>
      <c r="D173" s="5" t="s">
        <v>2142</v>
      </c>
      <c r="E173" s="5" t="s">
        <v>2154</v>
      </c>
      <c r="F173" s="5" t="s">
        <v>2155</v>
      </c>
      <c r="G173" s="5" t="s">
        <v>20</v>
      </c>
      <c r="H173" s="5" t="s">
        <v>59</v>
      </c>
      <c r="I173" s="5" t="s">
        <v>437</v>
      </c>
      <c r="J173" s="5" t="s">
        <v>2156</v>
      </c>
      <c r="K173" s="5" t="s">
        <v>2157</v>
      </c>
      <c r="L173" s="5" t="s">
        <v>2158</v>
      </c>
      <c r="M173" s="5" t="s">
        <v>2159</v>
      </c>
      <c r="N173" s="5" t="s">
        <v>2160</v>
      </c>
      <c r="O173" s="5" t="s">
        <v>2161</v>
      </c>
      <c r="P173" s="5" t="s">
        <v>2162</v>
      </c>
      <c r="Q173" s="5" t="s">
        <v>2163</v>
      </c>
      <c r="R173" s="5" t="s">
        <v>548</v>
      </c>
      <c r="S173" s="5" t="s">
        <v>16</v>
      </c>
      <c r="T173" s="5" t="s">
        <v>70</v>
      </c>
      <c r="U173" s="5" t="s">
        <v>2164</v>
      </c>
      <c r="V173" s="5" t="s">
        <v>72</v>
      </c>
      <c r="W173" s="5"/>
    </row>
    <row r="174" spans="1:23" ht="21" customHeight="1">
      <c r="A174" s="5" t="s">
        <v>2165</v>
      </c>
      <c r="B174" s="5" t="s">
        <v>25</v>
      </c>
      <c r="C174" s="5" t="s">
        <v>2013</v>
      </c>
      <c r="D174" s="5" t="s">
        <v>2166</v>
      </c>
      <c r="E174" s="5" t="s">
        <v>2167</v>
      </c>
      <c r="F174" s="5" t="s">
        <v>2168</v>
      </c>
      <c r="G174" s="5" t="s">
        <v>16</v>
      </c>
      <c r="H174" s="5" t="s">
        <v>77</v>
      </c>
      <c r="I174" s="5" t="s">
        <v>159</v>
      </c>
      <c r="J174" s="5" t="s">
        <v>2169</v>
      </c>
      <c r="K174" s="5" t="s">
        <v>2170</v>
      </c>
      <c r="L174" s="5" t="s">
        <v>2171</v>
      </c>
      <c r="M174" s="5" t="s">
        <v>2172</v>
      </c>
      <c r="N174" s="5" t="s">
        <v>2173</v>
      </c>
      <c r="O174" s="5" t="s">
        <v>2174</v>
      </c>
      <c r="P174" s="5" t="s">
        <v>2175</v>
      </c>
      <c r="Q174" s="5" t="s">
        <v>1150</v>
      </c>
      <c r="R174" s="5" t="s">
        <v>100</v>
      </c>
      <c r="S174" s="5" t="s">
        <v>14</v>
      </c>
      <c r="T174" s="5" t="s">
        <v>70</v>
      </c>
      <c r="U174" s="5" t="s">
        <v>2176</v>
      </c>
      <c r="V174" s="5" t="s">
        <v>72</v>
      </c>
      <c r="W174" s="5"/>
    </row>
    <row r="175" spans="1:23" ht="21" customHeight="1">
      <c r="A175" s="5" t="s">
        <v>2177</v>
      </c>
      <c r="B175" s="5" t="s">
        <v>25</v>
      </c>
      <c r="C175" s="5" t="s">
        <v>2013</v>
      </c>
      <c r="D175" s="5" t="s">
        <v>2178</v>
      </c>
      <c r="E175" s="5" t="s">
        <v>2179</v>
      </c>
      <c r="F175" s="5" t="s">
        <v>2180</v>
      </c>
      <c r="G175" s="5" t="s">
        <v>18</v>
      </c>
      <c r="H175" s="5" t="s">
        <v>77</v>
      </c>
      <c r="I175" s="5" t="s">
        <v>159</v>
      </c>
      <c r="J175" s="5" t="s">
        <v>2181</v>
      </c>
      <c r="K175" s="5" t="s">
        <v>2182</v>
      </c>
      <c r="L175" s="5" t="s">
        <v>2183</v>
      </c>
      <c r="M175" s="5" t="s">
        <v>2184</v>
      </c>
      <c r="N175" s="5" t="s">
        <v>2185</v>
      </c>
      <c r="O175" s="5" t="s">
        <v>2186</v>
      </c>
      <c r="P175" s="5" t="s">
        <v>2187</v>
      </c>
      <c r="Q175" s="5" t="s">
        <v>2188</v>
      </c>
      <c r="R175" s="5" t="s">
        <v>548</v>
      </c>
      <c r="S175" s="5" t="s">
        <v>16</v>
      </c>
      <c r="T175" s="5" t="s">
        <v>2010</v>
      </c>
      <c r="U175" s="5" t="s">
        <v>2189</v>
      </c>
      <c r="V175" s="5" t="s">
        <v>72</v>
      </c>
      <c r="W175" s="5"/>
    </row>
    <row r="176" spans="1:23" ht="21" customHeight="1">
      <c r="A176" s="5" t="s">
        <v>2190</v>
      </c>
      <c r="B176" s="5" t="s">
        <v>25</v>
      </c>
      <c r="C176" s="5" t="s">
        <v>2013</v>
      </c>
      <c r="D176" s="5" t="s">
        <v>2191</v>
      </c>
      <c r="E176" s="5" t="s">
        <v>2192</v>
      </c>
      <c r="F176" s="5" t="s">
        <v>2193</v>
      </c>
      <c r="G176" s="5" t="s">
        <v>18</v>
      </c>
      <c r="H176" s="5" t="s">
        <v>77</v>
      </c>
      <c r="I176" s="5" t="s">
        <v>159</v>
      </c>
      <c r="J176" s="5" t="s">
        <v>2194</v>
      </c>
      <c r="K176" s="5" t="s">
        <v>2195</v>
      </c>
      <c r="L176" s="5" t="s">
        <v>2196</v>
      </c>
      <c r="M176" s="5" t="s">
        <v>2197</v>
      </c>
      <c r="N176" s="5" t="s">
        <v>2198</v>
      </c>
      <c r="O176" s="5" t="s">
        <v>2199</v>
      </c>
      <c r="P176" s="5" t="s">
        <v>2200</v>
      </c>
      <c r="Q176" s="5" t="s">
        <v>2201</v>
      </c>
      <c r="R176" s="5" t="s">
        <v>548</v>
      </c>
      <c r="S176" s="5" t="s">
        <v>16</v>
      </c>
      <c r="T176" s="5" t="s">
        <v>70</v>
      </c>
      <c r="U176" s="5" t="s">
        <v>2202</v>
      </c>
      <c r="V176" s="5" t="s">
        <v>72</v>
      </c>
      <c r="W176" s="5"/>
    </row>
    <row r="177" spans="1:23" ht="21" customHeight="1">
      <c r="A177" s="5" t="s">
        <v>2203</v>
      </c>
      <c r="B177" s="5" t="s">
        <v>25</v>
      </c>
      <c r="C177" s="5" t="s">
        <v>2013</v>
      </c>
      <c r="D177" s="5" t="s">
        <v>2191</v>
      </c>
      <c r="E177" s="5" t="s">
        <v>2204</v>
      </c>
      <c r="F177" s="5" t="s">
        <v>2205</v>
      </c>
      <c r="G177" s="5" t="s">
        <v>18</v>
      </c>
      <c r="H177" s="5" t="s">
        <v>77</v>
      </c>
      <c r="I177" s="5" t="s">
        <v>159</v>
      </c>
      <c r="J177" s="5" t="s">
        <v>2206</v>
      </c>
      <c r="K177" s="5" t="s">
        <v>2207</v>
      </c>
      <c r="L177" s="5" t="s">
        <v>2208</v>
      </c>
      <c r="M177" s="5" t="s">
        <v>2209</v>
      </c>
      <c r="N177" s="5" t="s">
        <v>2210</v>
      </c>
      <c r="O177" s="5" t="s">
        <v>2211</v>
      </c>
      <c r="P177" s="5" t="s">
        <v>2212</v>
      </c>
      <c r="Q177" s="5" t="s">
        <v>919</v>
      </c>
      <c r="R177" s="5" t="s">
        <v>205</v>
      </c>
      <c r="S177" s="5" t="s">
        <v>16</v>
      </c>
      <c r="T177" s="5" t="s">
        <v>70</v>
      </c>
      <c r="U177" s="5" t="s">
        <v>2213</v>
      </c>
      <c r="V177" s="5" t="s">
        <v>72</v>
      </c>
      <c r="W177" s="5"/>
    </row>
    <row r="178" spans="1:23" ht="21" customHeight="1">
      <c r="A178" s="5" t="s">
        <v>2214</v>
      </c>
      <c r="B178" s="5" t="s">
        <v>25</v>
      </c>
      <c r="C178" s="5" t="s">
        <v>2013</v>
      </c>
      <c r="D178" s="5" t="s">
        <v>2215</v>
      </c>
      <c r="E178" s="5" t="s">
        <v>2216</v>
      </c>
      <c r="F178" s="5" t="s">
        <v>2217</v>
      </c>
      <c r="G178" s="5" t="s">
        <v>18</v>
      </c>
      <c r="H178" s="5" t="s">
        <v>77</v>
      </c>
      <c r="I178" s="5" t="s">
        <v>159</v>
      </c>
      <c r="J178" s="5" t="s">
        <v>2218</v>
      </c>
      <c r="K178" s="5" t="s">
        <v>2219</v>
      </c>
      <c r="L178" s="5" t="s">
        <v>2220</v>
      </c>
      <c r="M178" s="5" t="s">
        <v>2221</v>
      </c>
      <c r="N178" s="5" t="s">
        <v>2222</v>
      </c>
      <c r="O178" s="5" t="s">
        <v>2223</v>
      </c>
      <c r="P178" s="5" t="s">
        <v>2224</v>
      </c>
      <c r="Q178" s="5" t="s">
        <v>760</v>
      </c>
      <c r="R178" s="5" t="s">
        <v>100</v>
      </c>
      <c r="S178" s="5" t="s">
        <v>14</v>
      </c>
      <c r="T178" s="5" t="s">
        <v>70</v>
      </c>
      <c r="U178" s="5" t="s">
        <v>2225</v>
      </c>
      <c r="V178" s="5" t="s">
        <v>72</v>
      </c>
      <c r="W178" s="5"/>
    </row>
    <row r="179" spans="1:23" ht="21" customHeight="1">
      <c r="A179" s="5" t="s">
        <v>2226</v>
      </c>
      <c r="B179" s="5" t="s">
        <v>25</v>
      </c>
      <c r="C179" s="5" t="s">
        <v>2013</v>
      </c>
      <c r="D179" s="5" t="s">
        <v>2215</v>
      </c>
      <c r="E179" s="5" t="s">
        <v>2227</v>
      </c>
      <c r="F179" s="5" t="s">
        <v>2228</v>
      </c>
      <c r="G179" s="5" t="s">
        <v>18</v>
      </c>
      <c r="H179" s="5" t="s">
        <v>77</v>
      </c>
      <c r="I179" s="5" t="s">
        <v>159</v>
      </c>
      <c r="J179" s="5" t="s">
        <v>2229</v>
      </c>
      <c r="K179" s="5" t="s">
        <v>2230</v>
      </c>
      <c r="L179" s="5" t="s">
        <v>2231</v>
      </c>
      <c r="M179" s="5" t="s">
        <v>2232</v>
      </c>
      <c r="N179" s="5" t="s">
        <v>2233</v>
      </c>
      <c r="O179" s="5" t="s">
        <v>2234</v>
      </c>
      <c r="P179" s="5" t="s">
        <v>2235</v>
      </c>
      <c r="Q179" s="5" t="s">
        <v>932</v>
      </c>
      <c r="R179" s="5" t="s">
        <v>100</v>
      </c>
      <c r="S179" s="5" t="s">
        <v>14</v>
      </c>
      <c r="T179" s="5" t="s">
        <v>70</v>
      </c>
      <c r="U179" s="5" t="s">
        <v>2236</v>
      </c>
      <c r="V179" s="5" t="s">
        <v>72</v>
      </c>
      <c r="W179" s="5"/>
    </row>
    <row r="180" spans="1:23" ht="21" customHeight="1">
      <c r="A180" s="5" t="s">
        <v>2237</v>
      </c>
      <c r="B180" s="5" t="s">
        <v>25</v>
      </c>
      <c r="C180" s="5" t="s">
        <v>2013</v>
      </c>
      <c r="D180" s="5" t="s">
        <v>2215</v>
      </c>
      <c r="E180" s="5" t="s">
        <v>2238</v>
      </c>
      <c r="F180" s="5" t="s">
        <v>2239</v>
      </c>
      <c r="G180" s="5" t="s">
        <v>20</v>
      </c>
      <c r="H180" s="5" t="s">
        <v>77</v>
      </c>
      <c r="I180" s="5" t="s">
        <v>159</v>
      </c>
      <c r="J180" s="5" t="s">
        <v>2240</v>
      </c>
      <c r="K180" s="5" t="s">
        <v>2241</v>
      </c>
      <c r="L180" s="5" t="s">
        <v>2242</v>
      </c>
      <c r="M180" s="5" t="s">
        <v>2243</v>
      </c>
      <c r="N180" s="5" t="s">
        <v>2244</v>
      </c>
      <c r="O180" s="5" t="s">
        <v>2245</v>
      </c>
      <c r="P180" s="5" t="s">
        <v>2246</v>
      </c>
      <c r="Q180" s="5" t="s">
        <v>1912</v>
      </c>
      <c r="R180" s="5" t="s">
        <v>714</v>
      </c>
      <c r="S180" s="5" t="s">
        <v>14</v>
      </c>
      <c r="T180" s="5" t="s">
        <v>70</v>
      </c>
      <c r="U180" s="5" t="s">
        <v>2247</v>
      </c>
      <c r="V180" s="5" t="s">
        <v>72</v>
      </c>
      <c r="W180" s="5"/>
    </row>
    <row r="181" spans="1:23" ht="21" customHeight="1">
      <c r="A181" s="5" t="s">
        <v>2248</v>
      </c>
      <c r="B181" s="5" t="s">
        <v>25</v>
      </c>
      <c r="C181" s="5" t="s">
        <v>2013</v>
      </c>
      <c r="D181" s="5" t="s">
        <v>2215</v>
      </c>
      <c r="E181" s="5" t="s">
        <v>2249</v>
      </c>
      <c r="F181" s="5" t="s">
        <v>2250</v>
      </c>
      <c r="G181" s="5" t="s">
        <v>18</v>
      </c>
      <c r="H181" s="5" t="s">
        <v>59</v>
      </c>
      <c r="I181" s="5" t="s">
        <v>437</v>
      </c>
      <c r="J181" s="5" t="s">
        <v>2251</v>
      </c>
      <c r="K181" s="5" t="s">
        <v>2252</v>
      </c>
      <c r="L181" s="5" t="s">
        <v>2253</v>
      </c>
      <c r="M181" s="5" t="s">
        <v>2254</v>
      </c>
      <c r="N181" s="5" t="s">
        <v>2255</v>
      </c>
      <c r="O181" s="5" t="s">
        <v>2256</v>
      </c>
      <c r="P181" s="5" t="s">
        <v>2257</v>
      </c>
      <c r="Q181" s="5" t="s">
        <v>1535</v>
      </c>
      <c r="R181" s="5" t="s">
        <v>407</v>
      </c>
      <c r="S181" s="5" t="s">
        <v>14</v>
      </c>
      <c r="T181" s="5" t="s">
        <v>70</v>
      </c>
      <c r="U181" s="5" t="s">
        <v>2258</v>
      </c>
      <c r="V181" s="5" t="s">
        <v>72</v>
      </c>
      <c r="W181" s="5"/>
    </row>
    <row r="182" spans="1:23" ht="21" customHeight="1">
      <c r="A182" s="5" t="s">
        <v>2259</v>
      </c>
      <c r="B182" s="5" t="s">
        <v>27</v>
      </c>
      <c r="C182" s="5" t="s">
        <v>2013</v>
      </c>
      <c r="D182" s="5" t="s">
        <v>2260</v>
      </c>
      <c r="E182" s="5" t="s">
        <v>2261</v>
      </c>
      <c r="F182" s="5" t="s">
        <v>2262</v>
      </c>
      <c r="G182" s="5" t="s">
        <v>18</v>
      </c>
      <c r="H182" s="5" t="s">
        <v>77</v>
      </c>
      <c r="I182" s="5" t="s">
        <v>159</v>
      </c>
      <c r="J182" s="5" t="s">
        <v>2263</v>
      </c>
      <c r="K182" s="5" t="s">
        <v>2264</v>
      </c>
      <c r="L182" s="5" t="s">
        <v>2265</v>
      </c>
      <c r="M182" s="5" t="s">
        <v>2266</v>
      </c>
      <c r="N182" s="5" t="s">
        <v>2267</v>
      </c>
      <c r="O182" s="5" t="s">
        <v>2268</v>
      </c>
      <c r="P182" s="5" t="s">
        <v>2269</v>
      </c>
      <c r="Q182" s="5" t="s">
        <v>2270</v>
      </c>
      <c r="R182" s="5" t="s">
        <v>714</v>
      </c>
      <c r="S182" s="5" t="s">
        <v>14</v>
      </c>
      <c r="T182" s="5" t="s">
        <v>967</v>
      </c>
      <c r="U182" s="5" t="s">
        <v>2271</v>
      </c>
      <c r="V182" s="5" t="s">
        <v>72</v>
      </c>
      <c r="W182" s="5"/>
    </row>
    <row r="183" spans="1:23" ht="21" customHeight="1">
      <c r="A183" s="5" t="s">
        <v>2272</v>
      </c>
      <c r="B183" s="5" t="s">
        <v>27</v>
      </c>
      <c r="C183" s="5" t="s">
        <v>2013</v>
      </c>
      <c r="D183" s="5" t="s">
        <v>2260</v>
      </c>
      <c r="E183" s="5" t="s">
        <v>2273</v>
      </c>
      <c r="F183" s="5" t="s">
        <v>2274</v>
      </c>
      <c r="G183" s="5" t="s">
        <v>20</v>
      </c>
      <c r="H183" s="5" t="s">
        <v>59</v>
      </c>
      <c r="I183" s="5" t="s">
        <v>437</v>
      </c>
      <c r="J183" s="5" t="s">
        <v>2275</v>
      </c>
      <c r="K183" s="5" t="s">
        <v>2276</v>
      </c>
      <c r="L183" s="5" t="s">
        <v>2277</v>
      </c>
      <c r="M183" s="5" t="s">
        <v>2278</v>
      </c>
      <c r="N183" s="5" t="s">
        <v>2279</v>
      </c>
      <c r="O183" s="5" t="s">
        <v>2280</v>
      </c>
      <c r="P183" s="5" t="s">
        <v>2281</v>
      </c>
      <c r="Q183" s="5" t="s">
        <v>2282</v>
      </c>
      <c r="R183" s="5" t="s">
        <v>686</v>
      </c>
      <c r="S183" s="5" t="s">
        <v>14</v>
      </c>
      <c r="T183" s="5" t="s">
        <v>70</v>
      </c>
      <c r="U183" s="5" t="s">
        <v>2283</v>
      </c>
      <c r="V183" s="5" t="s">
        <v>72</v>
      </c>
      <c r="W183" s="5"/>
    </row>
    <row r="184" spans="1:23" ht="21" customHeight="1">
      <c r="A184" s="5" t="s">
        <v>2284</v>
      </c>
      <c r="B184" s="5" t="s">
        <v>27</v>
      </c>
      <c r="C184" s="5" t="s">
        <v>2013</v>
      </c>
      <c r="D184" s="5" t="s">
        <v>2260</v>
      </c>
      <c r="E184" s="5" t="s">
        <v>2285</v>
      </c>
      <c r="F184" s="5" t="s">
        <v>2286</v>
      </c>
      <c r="G184" s="5" t="s">
        <v>20</v>
      </c>
      <c r="H184" s="5" t="s">
        <v>59</v>
      </c>
      <c r="I184" s="5" t="s">
        <v>2287</v>
      </c>
      <c r="J184" s="5" t="s">
        <v>2288</v>
      </c>
      <c r="K184" s="5" t="s">
        <v>2289</v>
      </c>
      <c r="L184" s="5" t="s">
        <v>2290</v>
      </c>
      <c r="M184" s="5" t="s">
        <v>2291</v>
      </c>
      <c r="N184" s="5" t="s">
        <v>2292</v>
      </c>
      <c r="O184" s="5" t="s">
        <v>2293</v>
      </c>
      <c r="P184" s="5" t="s">
        <v>2294</v>
      </c>
      <c r="Q184" s="5" t="s">
        <v>2295</v>
      </c>
      <c r="R184" s="5" t="s">
        <v>1079</v>
      </c>
      <c r="S184" s="5" t="s">
        <v>20</v>
      </c>
      <c r="T184" s="5" t="s">
        <v>70</v>
      </c>
      <c r="U184" s="5" t="s">
        <v>2296</v>
      </c>
      <c r="V184" s="5" t="s">
        <v>72</v>
      </c>
      <c r="W184" s="5"/>
    </row>
    <row r="185" spans="1:23" ht="21" customHeight="1">
      <c r="A185" s="5" t="s">
        <v>2297</v>
      </c>
      <c r="B185" s="5" t="s">
        <v>27</v>
      </c>
      <c r="C185" s="5" t="s">
        <v>2013</v>
      </c>
      <c r="D185" s="5" t="s">
        <v>2298</v>
      </c>
      <c r="E185" s="5" t="s">
        <v>2299</v>
      </c>
      <c r="F185" s="5" t="s">
        <v>2300</v>
      </c>
      <c r="G185" s="5" t="s">
        <v>18</v>
      </c>
      <c r="H185" s="5" t="s">
        <v>77</v>
      </c>
      <c r="I185" s="5" t="s">
        <v>159</v>
      </c>
      <c r="J185" s="5" t="s">
        <v>2301</v>
      </c>
      <c r="K185" s="5" t="s">
        <v>2302</v>
      </c>
      <c r="L185" s="5" t="s">
        <v>2303</v>
      </c>
      <c r="M185" s="5" t="s">
        <v>2304</v>
      </c>
      <c r="N185" s="5" t="s">
        <v>2305</v>
      </c>
      <c r="O185" s="5" t="s">
        <v>2306</v>
      </c>
      <c r="P185" s="5" t="s">
        <v>2307</v>
      </c>
      <c r="Q185" s="5" t="s">
        <v>2308</v>
      </c>
      <c r="R185" s="5" t="s">
        <v>714</v>
      </c>
      <c r="S185" s="5" t="s">
        <v>14</v>
      </c>
      <c r="T185" s="5" t="s">
        <v>967</v>
      </c>
      <c r="U185" s="5" t="s">
        <v>2309</v>
      </c>
      <c r="V185" s="5" t="s">
        <v>72</v>
      </c>
      <c r="W185" s="5"/>
    </row>
    <row r="186" spans="1:23" ht="21" customHeight="1">
      <c r="A186" s="5" t="s">
        <v>2310</v>
      </c>
      <c r="B186" s="5" t="s">
        <v>27</v>
      </c>
      <c r="C186" s="5" t="s">
        <v>2013</v>
      </c>
      <c r="D186" s="5" t="s">
        <v>2298</v>
      </c>
      <c r="E186" s="5" t="s">
        <v>2311</v>
      </c>
      <c r="F186" s="5" t="s">
        <v>2312</v>
      </c>
      <c r="G186" s="5" t="s">
        <v>20</v>
      </c>
      <c r="H186" s="5" t="s">
        <v>59</v>
      </c>
      <c r="I186" s="5" t="s">
        <v>437</v>
      </c>
      <c r="J186" s="5" t="s">
        <v>2313</v>
      </c>
      <c r="K186" s="5" t="s">
        <v>2314</v>
      </c>
      <c r="L186" s="5" t="s">
        <v>2315</v>
      </c>
      <c r="M186" s="5" t="s">
        <v>2316</v>
      </c>
      <c r="N186" s="5" t="s">
        <v>2317</v>
      </c>
      <c r="O186" s="5" t="s">
        <v>2318</v>
      </c>
      <c r="P186" s="5" t="s">
        <v>2319</v>
      </c>
      <c r="Q186" s="5" t="s">
        <v>2320</v>
      </c>
      <c r="R186" s="5" t="s">
        <v>2321</v>
      </c>
      <c r="S186" s="5" t="s">
        <v>14</v>
      </c>
      <c r="T186" s="5" t="s">
        <v>992</v>
      </c>
      <c r="U186" s="5" t="s">
        <v>2322</v>
      </c>
      <c r="V186" s="5" t="s">
        <v>72</v>
      </c>
      <c r="W186" s="5"/>
    </row>
    <row r="187" spans="1:23" ht="21" customHeight="1">
      <c r="A187" s="5" t="s">
        <v>2323</v>
      </c>
      <c r="B187" s="5" t="s">
        <v>27</v>
      </c>
      <c r="C187" s="5" t="s">
        <v>2013</v>
      </c>
      <c r="D187" s="5" t="s">
        <v>2298</v>
      </c>
      <c r="E187" s="5" t="s">
        <v>2324</v>
      </c>
      <c r="F187" s="5" t="s">
        <v>2325</v>
      </c>
      <c r="G187" s="5" t="s">
        <v>20</v>
      </c>
      <c r="H187" s="5" t="s">
        <v>59</v>
      </c>
      <c r="I187" s="5" t="s">
        <v>437</v>
      </c>
      <c r="J187" s="5" t="s">
        <v>2326</v>
      </c>
      <c r="K187" s="5" t="s">
        <v>2327</v>
      </c>
      <c r="L187" s="5" t="s">
        <v>2328</v>
      </c>
      <c r="M187" s="5" t="s">
        <v>2329</v>
      </c>
      <c r="N187" s="5" t="s">
        <v>2330</v>
      </c>
      <c r="O187" s="5" t="s">
        <v>2331</v>
      </c>
      <c r="P187" s="5" t="s">
        <v>2332</v>
      </c>
      <c r="Q187" s="5" t="s">
        <v>2333</v>
      </c>
      <c r="R187" s="5" t="s">
        <v>1079</v>
      </c>
      <c r="S187" s="5" t="s">
        <v>20</v>
      </c>
      <c r="T187" s="5" t="s">
        <v>70</v>
      </c>
      <c r="U187" s="5" t="s">
        <v>2334</v>
      </c>
      <c r="V187" s="5" t="s">
        <v>72</v>
      </c>
      <c r="W187" s="5"/>
    </row>
    <row r="188" spans="1:23" ht="21" customHeight="1">
      <c r="A188" s="5" t="s">
        <v>2335</v>
      </c>
      <c r="B188" s="5" t="s">
        <v>27</v>
      </c>
      <c r="C188" s="5" t="s">
        <v>2013</v>
      </c>
      <c r="D188" s="5" t="s">
        <v>2336</v>
      </c>
      <c r="E188" s="5" t="s">
        <v>2336</v>
      </c>
      <c r="F188" s="5" t="s">
        <v>2337</v>
      </c>
      <c r="G188" s="5" t="s">
        <v>18</v>
      </c>
      <c r="H188" s="5" t="s">
        <v>77</v>
      </c>
      <c r="I188" s="5" t="s">
        <v>159</v>
      </c>
      <c r="J188" s="5" t="s">
        <v>2338</v>
      </c>
      <c r="K188" s="5" t="s">
        <v>2339</v>
      </c>
      <c r="L188" s="5" t="s">
        <v>2340</v>
      </c>
      <c r="M188" s="5" t="s">
        <v>2341</v>
      </c>
      <c r="N188" s="5" t="s">
        <v>2342</v>
      </c>
      <c r="O188" s="5" t="s">
        <v>2343</v>
      </c>
      <c r="P188" s="5" t="s">
        <v>2344</v>
      </c>
      <c r="Q188" s="5" t="s">
        <v>2345</v>
      </c>
      <c r="R188" s="5" t="s">
        <v>432</v>
      </c>
      <c r="S188" s="5" t="s">
        <v>16</v>
      </c>
      <c r="T188" s="5" t="s">
        <v>70</v>
      </c>
      <c r="U188" s="5" t="s">
        <v>2346</v>
      </c>
      <c r="V188" s="5" t="s">
        <v>72</v>
      </c>
      <c r="W188" s="5"/>
    </row>
    <row r="189" spans="1:23" ht="21" customHeight="1">
      <c r="A189" s="5" t="s">
        <v>2347</v>
      </c>
      <c r="B189" s="5" t="s">
        <v>27</v>
      </c>
      <c r="C189" s="5" t="s">
        <v>2013</v>
      </c>
      <c r="D189" s="5" t="s">
        <v>2336</v>
      </c>
      <c r="E189" s="5" t="s">
        <v>2348</v>
      </c>
      <c r="F189" s="5" t="s">
        <v>2349</v>
      </c>
      <c r="G189" s="5" t="s">
        <v>20</v>
      </c>
      <c r="H189" s="5" t="s">
        <v>59</v>
      </c>
      <c r="I189" s="5" t="s">
        <v>437</v>
      </c>
      <c r="J189" s="5" t="s">
        <v>2350</v>
      </c>
      <c r="K189" s="5" t="s">
        <v>2351</v>
      </c>
      <c r="L189" s="5" t="s">
        <v>2352</v>
      </c>
      <c r="M189" s="5" t="s">
        <v>2353</v>
      </c>
      <c r="N189" s="5" t="s">
        <v>2354</v>
      </c>
      <c r="O189" s="5" t="s">
        <v>2355</v>
      </c>
      <c r="P189" s="5" t="s">
        <v>2356</v>
      </c>
      <c r="Q189" s="5" t="s">
        <v>2357</v>
      </c>
      <c r="R189" s="5" t="s">
        <v>1749</v>
      </c>
      <c r="S189" s="5" t="s">
        <v>16</v>
      </c>
      <c r="T189" s="5" t="s">
        <v>70</v>
      </c>
      <c r="U189" s="5" t="s">
        <v>2358</v>
      </c>
      <c r="V189" s="5" t="s">
        <v>72</v>
      </c>
      <c r="W189" s="5"/>
    </row>
    <row r="190" spans="1:23" ht="21" customHeight="1">
      <c r="A190" s="5" t="s">
        <v>2359</v>
      </c>
      <c r="B190" s="5" t="s">
        <v>27</v>
      </c>
      <c r="C190" s="5" t="s">
        <v>2013</v>
      </c>
      <c r="D190" s="5" t="s">
        <v>2360</v>
      </c>
      <c r="E190" s="5" t="s">
        <v>2361</v>
      </c>
      <c r="F190" s="5" t="s">
        <v>2362</v>
      </c>
      <c r="G190" s="5" t="s">
        <v>20</v>
      </c>
      <c r="H190" s="5" t="s">
        <v>59</v>
      </c>
      <c r="I190" s="5" t="s">
        <v>437</v>
      </c>
      <c r="J190" s="5" t="s">
        <v>2363</v>
      </c>
      <c r="K190" s="5" t="s">
        <v>2364</v>
      </c>
      <c r="L190" s="5" t="s">
        <v>2365</v>
      </c>
      <c r="M190" s="5" t="s">
        <v>2366</v>
      </c>
      <c r="N190" s="5" t="s">
        <v>2367</v>
      </c>
      <c r="O190" s="5" t="s">
        <v>2368</v>
      </c>
      <c r="P190" s="5" t="s">
        <v>2369</v>
      </c>
      <c r="Q190" s="5" t="s">
        <v>979</v>
      </c>
      <c r="R190" s="5" t="s">
        <v>2370</v>
      </c>
      <c r="S190" s="5" t="s">
        <v>14</v>
      </c>
      <c r="T190" s="5" t="s">
        <v>967</v>
      </c>
      <c r="U190" s="5" t="s">
        <v>2371</v>
      </c>
      <c r="V190" s="5" t="s">
        <v>72</v>
      </c>
      <c r="W190" s="5"/>
    </row>
    <row r="191" spans="1:23" ht="21" customHeight="1">
      <c r="A191" s="5" t="s">
        <v>2372</v>
      </c>
      <c r="B191" s="5" t="s">
        <v>27</v>
      </c>
      <c r="C191" s="5" t="s">
        <v>2013</v>
      </c>
      <c r="D191" s="5" t="s">
        <v>2373</v>
      </c>
      <c r="E191" s="5" t="s">
        <v>2374</v>
      </c>
      <c r="F191" s="5" t="s">
        <v>2375</v>
      </c>
      <c r="G191" s="5" t="s">
        <v>16</v>
      </c>
      <c r="H191" s="5" t="s">
        <v>77</v>
      </c>
      <c r="I191" s="5" t="s">
        <v>854</v>
      </c>
      <c r="J191" s="5" t="s">
        <v>2376</v>
      </c>
      <c r="K191" s="5" t="s">
        <v>2377</v>
      </c>
      <c r="L191" s="5" t="s">
        <v>2378</v>
      </c>
      <c r="M191" s="5" t="s">
        <v>2379</v>
      </c>
      <c r="N191" s="5" t="s">
        <v>2380</v>
      </c>
      <c r="O191" s="5" t="s">
        <v>2381</v>
      </c>
      <c r="P191" s="5" t="s">
        <v>2382</v>
      </c>
      <c r="Q191" s="5" t="s">
        <v>2188</v>
      </c>
      <c r="R191" s="5" t="s">
        <v>205</v>
      </c>
      <c r="S191" s="5" t="s">
        <v>16</v>
      </c>
      <c r="T191" s="5" t="s">
        <v>70</v>
      </c>
      <c r="U191" s="5" t="s">
        <v>2383</v>
      </c>
      <c r="V191" s="5" t="s">
        <v>72</v>
      </c>
      <c r="W191" s="5"/>
    </row>
    <row r="192" spans="1:23" ht="21" customHeight="1">
      <c r="A192" s="5" t="s">
        <v>2384</v>
      </c>
      <c r="B192" s="5" t="s">
        <v>27</v>
      </c>
      <c r="C192" s="5" t="s">
        <v>2013</v>
      </c>
      <c r="D192" s="5" t="s">
        <v>2373</v>
      </c>
      <c r="E192" s="5" t="s">
        <v>2385</v>
      </c>
      <c r="F192" s="5" t="s">
        <v>2386</v>
      </c>
      <c r="G192" s="5" t="s">
        <v>16</v>
      </c>
      <c r="H192" s="5" t="s">
        <v>77</v>
      </c>
      <c r="I192" s="5" t="s">
        <v>854</v>
      </c>
      <c r="J192" s="5" t="s">
        <v>2387</v>
      </c>
      <c r="K192" s="5" t="s">
        <v>2388</v>
      </c>
      <c r="L192" s="5" t="s">
        <v>2389</v>
      </c>
      <c r="M192" s="5" t="s">
        <v>2390</v>
      </c>
      <c r="N192" s="5" t="s">
        <v>2391</v>
      </c>
      <c r="O192" s="5" t="s">
        <v>2392</v>
      </c>
      <c r="P192" s="5" t="s">
        <v>2393</v>
      </c>
      <c r="Q192" s="5" t="s">
        <v>1028</v>
      </c>
      <c r="R192" s="5" t="s">
        <v>205</v>
      </c>
      <c r="S192" s="5" t="s">
        <v>16</v>
      </c>
      <c r="T192" s="5" t="s">
        <v>70</v>
      </c>
      <c r="U192" s="5" t="s">
        <v>2394</v>
      </c>
      <c r="V192" s="5" t="s">
        <v>72</v>
      </c>
      <c r="W192" s="5"/>
    </row>
    <row r="193" spans="1:23" ht="21" customHeight="1">
      <c r="A193" s="5" t="s">
        <v>2395</v>
      </c>
      <c r="B193" s="5" t="s">
        <v>27</v>
      </c>
      <c r="C193" s="5" t="s">
        <v>2013</v>
      </c>
      <c r="D193" s="5" t="s">
        <v>2373</v>
      </c>
      <c r="E193" s="5" t="s">
        <v>2396</v>
      </c>
      <c r="F193" s="5" t="s">
        <v>2397</v>
      </c>
      <c r="G193" s="5" t="s">
        <v>20</v>
      </c>
      <c r="H193" s="5" t="s">
        <v>2398</v>
      </c>
      <c r="I193" s="5" t="s">
        <v>105</v>
      </c>
      <c r="J193" s="5" t="s">
        <v>2399</v>
      </c>
      <c r="K193" s="5" t="s">
        <v>2400</v>
      </c>
      <c r="L193" s="5" t="s">
        <v>2401</v>
      </c>
      <c r="M193" s="5" t="s">
        <v>2402</v>
      </c>
      <c r="N193" s="5" t="s">
        <v>2403</v>
      </c>
      <c r="O193" s="5" t="s">
        <v>2404</v>
      </c>
      <c r="P193" s="5" t="s">
        <v>2405</v>
      </c>
      <c r="Q193" s="5" t="s">
        <v>919</v>
      </c>
      <c r="R193" s="5" t="s">
        <v>673</v>
      </c>
      <c r="S193" s="5" t="s">
        <v>20</v>
      </c>
      <c r="T193" s="5" t="s">
        <v>70</v>
      </c>
      <c r="U193" s="5" t="s">
        <v>2406</v>
      </c>
      <c r="V193" s="5" t="s">
        <v>72</v>
      </c>
      <c r="W193" s="5"/>
    </row>
    <row r="194" spans="1:23" ht="21" customHeight="1">
      <c r="A194" s="5" t="s">
        <v>2407</v>
      </c>
      <c r="B194" s="5" t="s">
        <v>27</v>
      </c>
      <c r="C194" s="5" t="s">
        <v>2013</v>
      </c>
      <c r="D194" s="5" t="s">
        <v>332</v>
      </c>
      <c r="E194" s="5" t="s">
        <v>2408</v>
      </c>
      <c r="F194" s="5" t="s">
        <v>2409</v>
      </c>
      <c r="G194" s="5" t="s">
        <v>20</v>
      </c>
      <c r="H194" s="5" t="s">
        <v>2410</v>
      </c>
      <c r="I194" s="5" t="s">
        <v>336</v>
      </c>
      <c r="J194" s="5" t="s">
        <v>2411</v>
      </c>
      <c r="K194" s="5" t="s">
        <v>2412</v>
      </c>
      <c r="L194" s="5" t="s">
        <v>1565</v>
      </c>
      <c r="M194" s="5" t="s">
        <v>2413</v>
      </c>
      <c r="N194" s="5" t="s">
        <v>2414</v>
      </c>
      <c r="O194" s="5" t="s">
        <v>2415</v>
      </c>
      <c r="P194" s="5" t="s">
        <v>2416</v>
      </c>
      <c r="Q194" s="5" t="s">
        <v>2417</v>
      </c>
      <c r="R194" s="5" t="s">
        <v>345</v>
      </c>
      <c r="S194" s="5" t="s">
        <v>22</v>
      </c>
      <c r="T194" s="5" t="s">
        <v>346</v>
      </c>
      <c r="U194" s="5" t="s">
        <v>2418</v>
      </c>
      <c r="V194" s="5" t="s">
        <v>72</v>
      </c>
      <c r="W194" s="5"/>
    </row>
    <row r="195" spans="1:23" ht="21" customHeight="1">
      <c r="A195" s="5" t="s">
        <v>2419</v>
      </c>
      <c r="B195" s="5" t="s">
        <v>27</v>
      </c>
      <c r="C195" s="5" t="s">
        <v>2013</v>
      </c>
      <c r="D195" s="5" t="s">
        <v>2420</v>
      </c>
      <c r="E195" s="5" t="s">
        <v>2421</v>
      </c>
      <c r="F195" s="5" t="s">
        <v>2422</v>
      </c>
      <c r="G195" s="5" t="s">
        <v>18</v>
      </c>
      <c r="H195" s="5" t="s">
        <v>77</v>
      </c>
      <c r="I195" s="5" t="s">
        <v>159</v>
      </c>
      <c r="J195" s="5" t="s">
        <v>2423</v>
      </c>
      <c r="K195" s="5" t="s">
        <v>2424</v>
      </c>
      <c r="L195" s="5" t="s">
        <v>2425</v>
      </c>
      <c r="M195" s="5" t="s">
        <v>2426</v>
      </c>
      <c r="N195" s="5" t="s">
        <v>2427</v>
      </c>
      <c r="O195" s="5" t="s">
        <v>2428</v>
      </c>
      <c r="P195" s="5" t="s">
        <v>2429</v>
      </c>
      <c r="Q195" s="5" t="s">
        <v>919</v>
      </c>
      <c r="R195" s="5" t="s">
        <v>2430</v>
      </c>
      <c r="S195" s="5" t="s">
        <v>18</v>
      </c>
      <c r="T195" s="5" t="s">
        <v>70</v>
      </c>
      <c r="U195" s="5" t="s">
        <v>2431</v>
      </c>
      <c r="V195" s="5" t="s">
        <v>72</v>
      </c>
      <c r="W195" s="5"/>
    </row>
    <row r="196" spans="1:23" ht="21" customHeight="1">
      <c r="A196" s="5" t="s">
        <v>2432</v>
      </c>
      <c r="B196" s="5" t="s">
        <v>27</v>
      </c>
      <c r="C196" s="5" t="s">
        <v>2013</v>
      </c>
      <c r="D196" s="5" t="s">
        <v>2433</v>
      </c>
      <c r="E196" s="5" t="s">
        <v>2434</v>
      </c>
      <c r="F196" s="5" t="s">
        <v>2435</v>
      </c>
      <c r="G196" s="5" t="s">
        <v>18</v>
      </c>
      <c r="H196" s="5" t="s">
        <v>77</v>
      </c>
      <c r="I196" s="5" t="s">
        <v>159</v>
      </c>
      <c r="J196" s="5" t="s">
        <v>2436</v>
      </c>
      <c r="K196" s="5" t="s">
        <v>2437</v>
      </c>
      <c r="L196" s="5" t="s">
        <v>2438</v>
      </c>
      <c r="M196" s="5" t="s">
        <v>2439</v>
      </c>
      <c r="N196" s="5" t="s">
        <v>2440</v>
      </c>
      <c r="O196" s="5" t="s">
        <v>2441</v>
      </c>
      <c r="P196" s="5" t="s">
        <v>2442</v>
      </c>
      <c r="Q196" s="5" t="s">
        <v>919</v>
      </c>
      <c r="R196" s="5" t="s">
        <v>1510</v>
      </c>
      <c r="S196" s="5" t="s">
        <v>16</v>
      </c>
      <c r="T196" s="5" t="s">
        <v>70</v>
      </c>
      <c r="U196" s="5" t="s">
        <v>2443</v>
      </c>
      <c r="V196" s="5" t="s">
        <v>72</v>
      </c>
      <c r="W196" s="5"/>
    </row>
    <row r="197" spans="1:23" ht="21" customHeight="1">
      <c r="A197" s="5" t="s">
        <v>2444</v>
      </c>
      <c r="B197" s="5" t="s">
        <v>27</v>
      </c>
      <c r="C197" s="5" t="s">
        <v>2013</v>
      </c>
      <c r="D197" s="5" t="s">
        <v>1357</v>
      </c>
      <c r="E197" s="5" t="s">
        <v>2445</v>
      </c>
      <c r="F197" s="5" t="s">
        <v>2446</v>
      </c>
      <c r="G197" s="5" t="s">
        <v>18</v>
      </c>
      <c r="H197" s="5" t="s">
        <v>77</v>
      </c>
      <c r="I197" s="5" t="s">
        <v>60</v>
      </c>
      <c r="J197" s="5" t="s">
        <v>2447</v>
      </c>
      <c r="K197" s="5" t="s">
        <v>2448</v>
      </c>
      <c r="L197" s="5" t="s">
        <v>2449</v>
      </c>
      <c r="M197" s="5" t="s">
        <v>2450</v>
      </c>
      <c r="N197" s="5" t="s">
        <v>2451</v>
      </c>
      <c r="O197" s="5" t="s">
        <v>2452</v>
      </c>
      <c r="P197" s="5" t="s">
        <v>2453</v>
      </c>
      <c r="Q197" s="5" t="s">
        <v>919</v>
      </c>
      <c r="R197" s="5" t="s">
        <v>2063</v>
      </c>
      <c r="S197" s="5" t="s">
        <v>18</v>
      </c>
      <c r="T197" s="5" t="s">
        <v>1379</v>
      </c>
      <c r="U197" s="5" t="s">
        <v>2454</v>
      </c>
      <c r="V197" s="5" t="s">
        <v>72</v>
      </c>
      <c r="W197" s="5"/>
    </row>
    <row r="198" spans="1:23" ht="21" customHeight="1">
      <c r="A198" s="5" t="s">
        <v>2455</v>
      </c>
      <c r="B198" s="5" t="s">
        <v>27</v>
      </c>
      <c r="C198" s="5" t="s">
        <v>2013</v>
      </c>
      <c r="D198" s="5" t="s">
        <v>1357</v>
      </c>
      <c r="E198" s="5" t="s">
        <v>2456</v>
      </c>
      <c r="F198" s="5" t="s">
        <v>2457</v>
      </c>
      <c r="G198" s="5" t="s">
        <v>18</v>
      </c>
      <c r="H198" s="5" t="s">
        <v>77</v>
      </c>
      <c r="I198" s="5" t="s">
        <v>60</v>
      </c>
      <c r="J198" s="5" t="s">
        <v>2458</v>
      </c>
      <c r="K198" s="5" t="s">
        <v>2459</v>
      </c>
      <c r="L198" s="5" t="s">
        <v>2460</v>
      </c>
      <c r="M198" s="5" t="s">
        <v>2461</v>
      </c>
      <c r="N198" s="5" t="s">
        <v>2462</v>
      </c>
      <c r="O198" s="5" t="s">
        <v>2463</v>
      </c>
      <c r="P198" s="5" t="s">
        <v>2464</v>
      </c>
      <c r="Q198" s="5" t="s">
        <v>919</v>
      </c>
      <c r="R198" s="5" t="s">
        <v>205</v>
      </c>
      <c r="S198" s="5" t="s">
        <v>16</v>
      </c>
      <c r="T198" s="5" t="s">
        <v>70</v>
      </c>
      <c r="U198" s="5" t="s">
        <v>2465</v>
      </c>
      <c r="V198" s="5" t="s">
        <v>72</v>
      </c>
      <c r="W198" s="5"/>
    </row>
    <row r="199" spans="1:23" ht="21" customHeight="1">
      <c r="A199" s="5" t="s">
        <v>2466</v>
      </c>
      <c r="B199" s="5" t="s">
        <v>27</v>
      </c>
      <c r="C199" s="5" t="s">
        <v>2013</v>
      </c>
      <c r="D199" s="5" t="s">
        <v>2467</v>
      </c>
      <c r="E199" s="5" t="s">
        <v>2468</v>
      </c>
      <c r="F199" s="5" t="s">
        <v>2469</v>
      </c>
      <c r="G199" s="5" t="s">
        <v>16</v>
      </c>
      <c r="H199" s="5" t="s">
        <v>77</v>
      </c>
      <c r="I199" s="5" t="s">
        <v>145</v>
      </c>
      <c r="J199" s="5" t="s">
        <v>2470</v>
      </c>
      <c r="K199" s="5" t="s">
        <v>2471</v>
      </c>
      <c r="L199" s="5" t="s">
        <v>2472</v>
      </c>
      <c r="M199" s="5" t="s">
        <v>2473</v>
      </c>
      <c r="N199" s="5" t="s">
        <v>2474</v>
      </c>
      <c r="O199" s="5" t="s">
        <v>2475</v>
      </c>
      <c r="P199" s="5" t="s">
        <v>2476</v>
      </c>
      <c r="Q199" s="5" t="s">
        <v>2477</v>
      </c>
      <c r="R199" s="5" t="s">
        <v>1079</v>
      </c>
      <c r="S199" s="5" t="s">
        <v>18</v>
      </c>
      <c r="T199" s="5" t="s">
        <v>70</v>
      </c>
      <c r="U199" s="5" t="s">
        <v>2478</v>
      </c>
      <c r="V199" s="5" t="s">
        <v>72</v>
      </c>
      <c r="W199" s="5"/>
    </row>
    <row r="200" spans="1:23" ht="21" customHeight="1">
      <c r="A200" s="5" t="s">
        <v>2479</v>
      </c>
      <c r="B200" s="5" t="s">
        <v>27</v>
      </c>
      <c r="C200" s="5" t="s">
        <v>2013</v>
      </c>
      <c r="D200" s="5" t="s">
        <v>2467</v>
      </c>
      <c r="E200" s="5" t="s">
        <v>2480</v>
      </c>
      <c r="F200" s="5" t="s">
        <v>2481</v>
      </c>
      <c r="G200" s="5" t="s">
        <v>18</v>
      </c>
      <c r="H200" s="5" t="s">
        <v>77</v>
      </c>
      <c r="I200" s="5" t="s">
        <v>159</v>
      </c>
      <c r="J200" s="5" t="s">
        <v>2482</v>
      </c>
      <c r="K200" s="5" t="s">
        <v>2483</v>
      </c>
      <c r="L200" s="5" t="s">
        <v>2484</v>
      </c>
      <c r="M200" s="5" t="s">
        <v>2485</v>
      </c>
      <c r="N200" s="5" t="s">
        <v>2486</v>
      </c>
      <c r="O200" s="5" t="s">
        <v>2487</v>
      </c>
      <c r="P200" s="5" t="s">
        <v>2488</v>
      </c>
      <c r="Q200" s="5" t="s">
        <v>919</v>
      </c>
      <c r="R200" s="5" t="s">
        <v>2489</v>
      </c>
      <c r="S200" s="5" t="s">
        <v>18</v>
      </c>
      <c r="T200" s="5" t="s">
        <v>70</v>
      </c>
      <c r="U200" s="5" t="s">
        <v>2490</v>
      </c>
      <c r="V200" s="5" t="s">
        <v>72</v>
      </c>
      <c r="W200" s="5"/>
    </row>
    <row r="201" spans="1:23" ht="21" customHeight="1">
      <c r="A201" s="5" t="s">
        <v>2491</v>
      </c>
      <c r="B201" s="5" t="s">
        <v>27</v>
      </c>
      <c r="C201" s="5" t="s">
        <v>2013</v>
      </c>
      <c r="D201" s="5" t="s">
        <v>2467</v>
      </c>
      <c r="E201" s="5" t="s">
        <v>2492</v>
      </c>
      <c r="F201" s="5" t="s">
        <v>2493</v>
      </c>
      <c r="G201" s="5" t="s">
        <v>18</v>
      </c>
      <c r="H201" s="5" t="s">
        <v>77</v>
      </c>
      <c r="I201" s="5" t="s">
        <v>159</v>
      </c>
      <c r="J201" s="5" t="s">
        <v>2494</v>
      </c>
      <c r="K201" s="5" t="s">
        <v>2495</v>
      </c>
      <c r="L201" s="5" t="s">
        <v>2496</v>
      </c>
      <c r="M201" s="5" t="s">
        <v>2497</v>
      </c>
      <c r="N201" s="5" t="s">
        <v>2498</v>
      </c>
      <c r="O201" s="5" t="s">
        <v>2499</v>
      </c>
      <c r="P201" s="5" t="s">
        <v>1686</v>
      </c>
      <c r="Q201" s="5" t="s">
        <v>919</v>
      </c>
      <c r="R201" s="5" t="s">
        <v>1617</v>
      </c>
      <c r="S201" s="5" t="s">
        <v>20</v>
      </c>
      <c r="T201" s="5" t="s">
        <v>1379</v>
      </c>
      <c r="U201" s="5" t="s">
        <v>2500</v>
      </c>
      <c r="V201" s="5" t="s">
        <v>72</v>
      </c>
      <c r="W201" s="5"/>
    </row>
    <row r="202" spans="1:23" ht="21" customHeight="1">
      <c r="A202" s="5" t="s">
        <v>2501</v>
      </c>
      <c r="B202" s="5" t="s">
        <v>27</v>
      </c>
      <c r="C202" s="5" t="s">
        <v>2013</v>
      </c>
      <c r="D202" s="5" t="s">
        <v>2502</v>
      </c>
      <c r="E202" s="5" t="s">
        <v>2503</v>
      </c>
      <c r="F202" s="5" t="s">
        <v>2504</v>
      </c>
      <c r="G202" s="5" t="s">
        <v>16</v>
      </c>
      <c r="H202" s="5" t="s">
        <v>77</v>
      </c>
      <c r="I202" s="5" t="s">
        <v>145</v>
      </c>
      <c r="J202" s="5" t="s">
        <v>2505</v>
      </c>
      <c r="K202" s="5" t="s">
        <v>2506</v>
      </c>
      <c r="L202" s="5" t="s">
        <v>2507</v>
      </c>
      <c r="M202" s="5" t="s">
        <v>2508</v>
      </c>
      <c r="N202" s="5" t="s">
        <v>2509</v>
      </c>
      <c r="O202" s="5" t="s">
        <v>2510</v>
      </c>
      <c r="P202" s="5" t="s">
        <v>2511</v>
      </c>
      <c r="Q202" s="5" t="s">
        <v>139</v>
      </c>
      <c r="R202" s="5" t="s">
        <v>205</v>
      </c>
      <c r="S202" s="5" t="s">
        <v>16</v>
      </c>
      <c r="T202" s="5" t="s">
        <v>70</v>
      </c>
      <c r="U202" s="5" t="s">
        <v>2512</v>
      </c>
      <c r="V202" s="5" t="s">
        <v>72</v>
      </c>
      <c r="W202" s="5"/>
    </row>
    <row r="203" spans="1:23" ht="21" customHeight="1">
      <c r="A203" s="5" t="s">
        <v>2513</v>
      </c>
      <c r="B203" s="5" t="s">
        <v>27</v>
      </c>
      <c r="C203" s="5" t="s">
        <v>2013</v>
      </c>
      <c r="D203" s="5" t="s">
        <v>2502</v>
      </c>
      <c r="E203" s="5" t="s">
        <v>2514</v>
      </c>
      <c r="F203" s="5" t="s">
        <v>2515</v>
      </c>
      <c r="G203" s="5" t="s">
        <v>18</v>
      </c>
      <c r="H203" s="5" t="s">
        <v>77</v>
      </c>
      <c r="I203" s="5" t="s">
        <v>159</v>
      </c>
      <c r="J203" s="5" t="s">
        <v>2516</v>
      </c>
      <c r="K203" s="5" t="s">
        <v>2517</v>
      </c>
      <c r="L203" s="5" t="s">
        <v>2518</v>
      </c>
      <c r="M203" s="5" t="s">
        <v>2519</v>
      </c>
      <c r="N203" s="5" t="s">
        <v>2520</v>
      </c>
      <c r="O203" s="5" t="s">
        <v>2521</v>
      </c>
      <c r="P203" s="5" t="s">
        <v>2522</v>
      </c>
      <c r="Q203" s="5" t="s">
        <v>1054</v>
      </c>
      <c r="R203" s="5" t="s">
        <v>205</v>
      </c>
      <c r="S203" s="5" t="s">
        <v>16</v>
      </c>
      <c r="T203" s="5" t="s">
        <v>70</v>
      </c>
      <c r="U203" s="5" t="s">
        <v>2523</v>
      </c>
      <c r="V203" s="5" t="s">
        <v>72</v>
      </c>
      <c r="W203" s="5"/>
    </row>
    <row r="204" spans="1:23" ht="21" customHeight="1">
      <c r="A204" s="5" t="s">
        <v>2524</v>
      </c>
      <c r="B204" s="5" t="s">
        <v>27</v>
      </c>
      <c r="C204" s="5" t="s">
        <v>2013</v>
      </c>
      <c r="D204" s="5" t="s">
        <v>2502</v>
      </c>
      <c r="E204" s="5" t="s">
        <v>2525</v>
      </c>
      <c r="F204" s="5" t="s">
        <v>2526</v>
      </c>
      <c r="G204" s="5" t="s">
        <v>20</v>
      </c>
      <c r="H204" s="5" t="s">
        <v>2527</v>
      </c>
      <c r="I204" s="5" t="s">
        <v>60</v>
      </c>
      <c r="J204" s="5" t="s">
        <v>2528</v>
      </c>
      <c r="K204" s="5" t="s">
        <v>2529</v>
      </c>
      <c r="L204" s="5" t="s">
        <v>2530</v>
      </c>
      <c r="M204" s="5" t="s">
        <v>2531</v>
      </c>
      <c r="N204" s="5" t="s">
        <v>2532</v>
      </c>
      <c r="O204" s="5" t="s">
        <v>2533</v>
      </c>
      <c r="P204" s="5" t="s">
        <v>2534</v>
      </c>
      <c r="Q204" s="5" t="s">
        <v>919</v>
      </c>
      <c r="R204" s="5" t="s">
        <v>1485</v>
      </c>
      <c r="S204" s="5" t="s">
        <v>18</v>
      </c>
      <c r="T204" s="5" t="s">
        <v>70</v>
      </c>
      <c r="U204" s="5" t="s">
        <v>2535</v>
      </c>
      <c r="V204" s="5" t="s">
        <v>72</v>
      </c>
      <c r="W204" s="5"/>
    </row>
    <row r="205" spans="1:23" ht="21" customHeight="1">
      <c r="A205" s="5" t="s">
        <v>2536</v>
      </c>
      <c r="B205" s="5" t="s">
        <v>27</v>
      </c>
      <c r="C205" s="5" t="s">
        <v>2013</v>
      </c>
      <c r="D205" s="5" t="s">
        <v>2537</v>
      </c>
      <c r="E205" s="5" t="s">
        <v>2538</v>
      </c>
      <c r="F205" s="5" t="s">
        <v>2539</v>
      </c>
      <c r="G205" s="5" t="s">
        <v>16</v>
      </c>
      <c r="H205" s="5" t="s">
        <v>77</v>
      </c>
      <c r="I205" s="5" t="s">
        <v>145</v>
      </c>
      <c r="J205" s="5" t="s">
        <v>2540</v>
      </c>
      <c r="K205" s="5" t="s">
        <v>2541</v>
      </c>
      <c r="L205" s="5" t="s">
        <v>2542</v>
      </c>
      <c r="M205" s="5" t="s">
        <v>2543</v>
      </c>
      <c r="N205" s="5" t="s">
        <v>2544</v>
      </c>
      <c r="O205" s="5" t="s">
        <v>2545</v>
      </c>
      <c r="P205" s="5" t="s">
        <v>2546</v>
      </c>
      <c r="Q205" s="5" t="s">
        <v>2547</v>
      </c>
      <c r="R205" s="5" t="s">
        <v>100</v>
      </c>
      <c r="S205" s="5" t="s">
        <v>14</v>
      </c>
      <c r="T205" s="5" t="s">
        <v>70</v>
      </c>
      <c r="U205" s="5" t="s">
        <v>2548</v>
      </c>
      <c r="V205" s="5" t="s">
        <v>72</v>
      </c>
      <c r="W205" s="5"/>
    </row>
    <row r="206" spans="1:23" ht="21" customHeight="1">
      <c r="A206" s="5" t="s">
        <v>2549</v>
      </c>
      <c r="B206" s="5" t="s">
        <v>27</v>
      </c>
      <c r="C206" s="5" t="s">
        <v>2013</v>
      </c>
      <c r="D206" s="5" t="s">
        <v>2537</v>
      </c>
      <c r="E206" s="5" t="s">
        <v>2550</v>
      </c>
      <c r="F206" s="5" t="s">
        <v>2551</v>
      </c>
      <c r="G206" s="5" t="s">
        <v>18</v>
      </c>
      <c r="H206" s="5" t="s">
        <v>77</v>
      </c>
      <c r="I206" s="5" t="s">
        <v>159</v>
      </c>
      <c r="J206" s="5" t="s">
        <v>2552</v>
      </c>
      <c r="K206" s="5" t="s">
        <v>2553</v>
      </c>
      <c r="L206" s="5" t="s">
        <v>2554</v>
      </c>
      <c r="M206" s="5" t="s">
        <v>2555</v>
      </c>
      <c r="N206" s="5" t="s">
        <v>2556</v>
      </c>
      <c r="O206" s="5" t="s">
        <v>2557</v>
      </c>
      <c r="P206" s="5" t="s">
        <v>2558</v>
      </c>
      <c r="Q206" s="5" t="s">
        <v>2559</v>
      </c>
      <c r="R206" s="5" t="s">
        <v>205</v>
      </c>
      <c r="S206" s="5" t="s">
        <v>16</v>
      </c>
      <c r="T206" s="5" t="s">
        <v>70</v>
      </c>
      <c r="U206" s="5" t="s">
        <v>2560</v>
      </c>
      <c r="V206" s="5" t="s">
        <v>72</v>
      </c>
      <c r="W206" s="5"/>
    </row>
    <row r="207" spans="1:23" ht="21" customHeight="1">
      <c r="A207" s="5" t="s">
        <v>2561</v>
      </c>
      <c r="B207" s="5" t="s">
        <v>27</v>
      </c>
      <c r="C207" s="5" t="s">
        <v>2013</v>
      </c>
      <c r="D207" s="5" t="s">
        <v>2464</v>
      </c>
      <c r="E207" s="5" t="s">
        <v>2562</v>
      </c>
      <c r="F207" s="5" t="s">
        <v>2563</v>
      </c>
      <c r="G207" s="5" t="s">
        <v>16</v>
      </c>
      <c r="H207" s="5" t="s">
        <v>77</v>
      </c>
      <c r="I207" s="5" t="s">
        <v>145</v>
      </c>
      <c r="J207" s="5" t="s">
        <v>2564</v>
      </c>
      <c r="K207" s="5" t="s">
        <v>2565</v>
      </c>
      <c r="L207" s="5" t="s">
        <v>2566</v>
      </c>
      <c r="M207" s="5" t="s">
        <v>2567</v>
      </c>
      <c r="N207" s="5" t="s">
        <v>2568</v>
      </c>
      <c r="O207" s="5" t="s">
        <v>2569</v>
      </c>
      <c r="P207" s="5" t="s">
        <v>2570</v>
      </c>
      <c r="Q207" s="5" t="s">
        <v>2571</v>
      </c>
      <c r="R207" s="5" t="s">
        <v>100</v>
      </c>
      <c r="S207" s="5" t="s">
        <v>14</v>
      </c>
      <c r="T207" s="5" t="s">
        <v>70</v>
      </c>
      <c r="U207" s="5" t="s">
        <v>2572</v>
      </c>
      <c r="V207" s="5" t="s">
        <v>72</v>
      </c>
      <c r="W207" s="5"/>
    </row>
    <row r="208" spans="1:23" ht="21" customHeight="1">
      <c r="A208" s="5" t="s">
        <v>2573</v>
      </c>
      <c r="B208" s="5" t="s">
        <v>27</v>
      </c>
      <c r="C208" s="5" t="s">
        <v>2013</v>
      </c>
      <c r="D208" s="5" t="s">
        <v>2464</v>
      </c>
      <c r="E208" s="5" t="s">
        <v>2574</v>
      </c>
      <c r="F208" s="5" t="s">
        <v>2575</v>
      </c>
      <c r="G208" s="5" t="s">
        <v>18</v>
      </c>
      <c r="H208" s="5" t="s">
        <v>77</v>
      </c>
      <c r="I208" s="5" t="s">
        <v>159</v>
      </c>
      <c r="J208" s="5" t="s">
        <v>2576</v>
      </c>
      <c r="K208" s="5" t="s">
        <v>2577</v>
      </c>
      <c r="L208" s="5" t="s">
        <v>2578</v>
      </c>
      <c r="M208" s="5" t="s">
        <v>2579</v>
      </c>
      <c r="N208" s="5" t="s">
        <v>2580</v>
      </c>
      <c r="O208" s="5" t="s">
        <v>2581</v>
      </c>
      <c r="P208" s="5" t="s">
        <v>2522</v>
      </c>
      <c r="Q208" s="5" t="s">
        <v>2357</v>
      </c>
      <c r="R208" s="5" t="s">
        <v>100</v>
      </c>
      <c r="S208" s="5" t="s">
        <v>14</v>
      </c>
      <c r="T208" s="5" t="s">
        <v>70</v>
      </c>
      <c r="U208" s="5" t="s">
        <v>2582</v>
      </c>
      <c r="V208" s="5" t="s">
        <v>72</v>
      </c>
      <c r="W208" s="5"/>
    </row>
    <row r="209" spans="1:23" ht="21" customHeight="1">
      <c r="A209" s="5" t="s">
        <v>2583</v>
      </c>
      <c r="B209" s="5" t="s">
        <v>27</v>
      </c>
      <c r="C209" s="5" t="s">
        <v>2013</v>
      </c>
      <c r="D209" s="5" t="s">
        <v>2584</v>
      </c>
      <c r="E209" s="5" t="s">
        <v>2585</v>
      </c>
      <c r="F209" s="5" t="s">
        <v>2586</v>
      </c>
      <c r="G209" s="5" t="s">
        <v>18</v>
      </c>
      <c r="H209" s="5" t="s">
        <v>77</v>
      </c>
      <c r="I209" s="5" t="s">
        <v>159</v>
      </c>
      <c r="J209" s="5" t="s">
        <v>2587</v>
      </c>
      <c r="K209" s="5" t="s">
        <v>2588</v>
      </c>
      <c r="L209" s="5" t="s">
        <v>2589</v>
      </c>
      <c r="M209" s="5" t="s">
        <v>2590</v>
      </c>
      <c r="N209" s="5" t="s">
        <v>2591</v>
      </c>
      <c r="O209" s="5" t="s">
        <v>2592</v>
      </c>
      <c r="P209" s="5" t="s">
        <v>2593</v>
      </c>
      <c r="Q209" s="5" t="s">
        <v>2594</v>
      </c>
      <c r="R209" s="5" t="s">
        <v>100</v>
      </c>
      <c r="S209" s="5" t="s">
        <v>14</v>
      </c>
      <c r="T209" s="5" t="s">
        <v>70</v>
      </c>
      <c r="U209" s="5" t="s">
        <v>2595</v>
      </c>
      <c r="V209" s="5" t="s">
        <v>72</v>
      </c>
      <c r="W209" s="5"/>
    </row>
    <row r="210" spans="1:23" ht="21" customHeight="1">
      <c r="A210" s="5" t="s">
        <v>2596</v>
      </c>
      <c r="B210" s="5" t="s">
        <v>27</v>
      </c>
      <c r="C210" s="5" t="s">
        <v>2013</v>
      </c>
      <c r="D210" s="5" t="s">
        <v>2584</v>
      </c>
      <c r="E210" s="5" t="s">
        <v>2597</v>
      </c>
      <c r="F210" s="5" t="s">
        <v>2598</v>
      </c>
      <c r="G210" s="5" t="s">
        <v>18</v>
      </c>
      <c r="H210" s="5" t="s">
        <v>77</v>
      </c>
      <c r="I210" s="5" t="s">
        <v>159</v>
      </c>
      <c r="J210" s="5" t="s">
        <v>2599</v>
      </c>
      <c r="K210" s="5" t="s">
        <v>2600</v>
      </c>
      <c r="L210" s="5" t="s">
        <v>2601</v>
      </c>
      <c r="M210" s="5" t="s">
        <v>2602</v>
      </c>
      <c r="N210" s="5" t="s">
        <v>2603</v>
      </c>
      <c r="O210" s="5" t="s">
        <v>2604</v>
      </c>
      <c r="P210" s="5" t="s">
        <v>2605</v>
      </c>
      <c r="Q210" s="5" t="s">
        <v>919</v>
      </c>
      <c r="R210" s="5" t="s">
        <v>205</v>
      </c>
      <c r="S210" s="5" t="s">
        <v>16</v>
      </c>
      <c r="T210" s="5" t="s">
        <v>70</v>
      </c>
      <c r="U210" s="5" t="s">
        <v>2606</v>
      </c>
      <c r="V210" s="5" t="s">
        <v>72</v>
      </c>
      <c r="W210" s="5"/>
    </row>
    <row r="211" spans="1:23" ht="21" customHeight="1">
      <c r="A211" s="5" t="s">
        <v>2607</v>
      </c>
      <c r="B211" s="5" t="s">
        <v>27</v>
      </c>
      <c r="C211" s="5" t="s">
        <v>2013</v>
      </c>
      <c r="D211" s="5" t="s">
        <v>2584</v>
      </c>
      <c r="E211" s="5" t="s">
        <v>2608</v>
      </c>
      <c r="F211" s="5" t="s">
        <v>2609</v>
      </c>
      <c r="G211" s="5" t="s">
        <v>16</v>
      </c>
      <c r="H211" s="5" t="s">
        <v>77</v>
      </c>
      <c r="I211" s="5" t="s">
        <v>159</v>
      </c>
      <c r="J211" s="5" t="s">
        <v>2610</v>
      </c>
      <c r="K211" s="5" t="s">
        <v>2611</v>
      </c>
      <c r="L211" s="5" t="s">
        <v>2612</v>
      </c>
      <c r="M211" s="5" t="s">
        <v>2613</v>
      </c>
      <c r="N211" s="5" t="s">
        <v>2614</v>
      </c>
      <c r="O211" s="5" t="s">
        <v>2615</v>
      </c>
      <c r="P211" s="5" t="s">
        <v>2616</v>
      </c>
      <c r="Q211" s="5" t="s">
        <v>919</v>
      </c>
      <c r="R211" s="5" t="s">
        <v>407</v>
      </c>
      <c r="S211" s="5" t="s">
        <v>14</v>
      </c>
      <c r="T211" s="5" t="s">
        <v>70</v>
      </c>
      <c r="U211" s="5" t="s">
        <v>2617</v>
      </c>
      <c r="V211" s="5" t="s">
        <v>72</v>
      </c>
      <c r="W211" s="5"/>
    </row>
    <row r="212" spans="1:23" ht="21" customHeight="1">
      <c r="A212" s="5" t="s">
        <v>2618</v>
      </c>
      <c r="B212" s="5" t="s">
        <v>29</v>
      </c>
      <c r="C212" s="5" t="s">
        <v>2619</v>
      </c>
      <c r="D212" s="5" t="s">
        <v>2620</v>
      </c>
      <c r="E212" s="5" t="s">
        <v>2621</v>
      </c>
      <c r="F212" s="5" t="s">
        <v>2622</v>
      </c>
      <c r="G212" s="5" t="s">
        <v>18</v>
      </c>
      <c r="H212" s="5" t="s">
        <v>77</v>
      </c>
      <c r="I212" s="5" t="s">
        <v>854</v>
      </c>
      <c r="J212" s="5" t="s">
        <v>2623</v>
      </c>
      <c r="K212" s="5" t="s">
        <v>2624</v>
      </c>
      <c r="L212" s="5" t="s">
        <v>2625</v>
      </c>
      <c r="M212" s="5" t="s">
        <v>2626</v>
      </c>
      <c r="N212" s="5" t="s">
        <v>2627</v>
      </c>
      <c r="O212" s="5" t="s">
        <v>2628</v>
      </c>
      <c r="P212" s="5" t="s">
        <v>2629</v>
      </c>
      <c r="Q212" s="5" t="s">
        <v>2630</v>
      </c>
      <c r="R212" s="5" t="s">
        <v>205</v>
      </c>
      <c r="S212" s="5" t="s">
        <v>18</v>
      </c>
      <c r="T212" s="5" t="s">
        <v>1379</v>
      </c>
      <c r="U212" s="5" t="s">
        <v>2631</v>
      </c>
      <c r="V212" s="5" t="s">
        <v>72</v>
      </c>
      <c r="W212" s="5"/>
    </row>
    <row r="213" spans="1:23" ht="21" customHeight="1">
      <c r="A213" s="5" t="s">
        <v>2632</v>
      </c>
      <c r="B213" s="5" t="s">
        <v>29</v>
      </c>
      <c r="C213" s="5" t="s">
        <v>2619</v>
      </c>
      <c r="D213" s="5" t="s">
        <v>2620</v>
      </c>
      <c r="E213" s="5" t="s">
        <v>2633</v>
      </c>
      <c r="F213" s="5" t="s">
        <v>2634</v>
      </c>
      <c r="G213" s="5" t="s">
        <v>18</v>
      </c>
      <c r="H213" s="5" t="s">
        <v>77</v>
      </c>
      <c r="I213" s="5" t="s">
        <v>105</v>
      </c>
      <c r="J213" s="5" t="s">
        <v>2635</v>
      </c>
      <c r="K213" s="5" t="s">
        <v>2636</v>
      </c>
      <c r="L213" s="5" t="s">
        <v>2637</v>
      </c>
      <c r="M213" s="5" t="s">
        <v>2638</v>
      </c>
      <c r="N213" s="5" t="s">
        <v>2639</v>
      </c>
      <c r="O213" s="5" t="s">
        <v>2640</v>
      </c>
      <c r="P213" s="5" t="s">
        <v>2641</v>
      </c>
      <c r="Q213" s="5" t="s">
        <v>2642</v>
      </c>
      <c r="R213" s="5" t="s">
        <v>205</v>
      </c>
      <c r="S213" s="5" t="s">
        <v>16</v>
      </c>
      <c r="T213" s="5" t="s">
        <v>70</v>
      </c>
      <c r="U213" s="5" t="s">
        <v>2643</v>
      </c>
      <c r="V213" s="5" t="s">
        <v>72</v>
      </c>
      <c r="W213" s="5"/>
    </row>
    <row r="214" spans="1:23" ht="21" customHeight="1">
      <c r="A214" s="5" t="s">
        <v>2644</v>
      </c>
      <c r="B214" s="5" t="s">
        <v>29</v>
      </c>
      <c r="C214" s="5" t="s">
        <v>2619</v>
      </c>
      <c r="D214" s="5" t="s">
        <v>2620</v>
      </c>
      <c r="E214" s="5" t="s">
        <v>2645</v>
      </c>
      <c r="F214" s="5" t="s">
        <v>2646</v>
      </c>
      <c r="G214" s="5" t="s">
        <v>18</v>
      </c>
      <c r="H214" s="5" t="s">
        <v>77</v>
      </c>
      <c r="I214" s="5" t="s">
        <v>105</v>
      </c>
      <c r="J214" s="5" t="s">
        <v>2647</v>
      </c>
      <c r="K214" s="5" t="s">
        <v>2648</v>
      </c>
      <c r="L214" s="5" t="s">
        <v>2649</v>
      </c>
      <c r="M214" s="5" t="s">
        <v>2650</v>
      </c>
      <c r="N214" s="5" t="s">
        <v>2651</v>
      </c>
      <c r="O214" s="5" t="s">
        <v>2652</v>
      </c>
      <c r="P214" s="5" t="s">
        <v>2653</v>
      </c>
      <c r="Q214" s="5" t="s">
        <v>919</v>
      </c>
      <c r="R214" s="5" t="s">
        <v>1186</v>
      </c>
      <c r="S214" s="5" t="s">
        <v>20</v>
      </c>
      <c r="T214" s="5" t="s">
        <v>864</v>
      </c>
      <c r="U214" s="5" t="s">
        <v>2654</v>
      </c>
      <c r="V214" s="5" t="s">
        <v>72</v>
      </c>
      <c r="W214" s="5"/>
    </row>
    <row r="215" spans="1:23" ht="21" customHeight="1">
      <c r="A215" s="5" t="s">
        <v>2655</v>
      </c>
      <c r="B215" s="5" t="s">
        <v>29</v>
      </c>
      <c r="C215" s="5" t="s">
        <v>2619</v>
      </c>
      <c r="D215" s="5" t="s">
        <v>2656</v>
      </c>
      <c r="E215" s="5" t="s">
        <v>2657</v>
      </c>
      <c r="F215" s="5" t="s">
        <v>2658</v>
      </c>
      <c r="G215" s="5" t="s">
        <v>18</v>
      </c>
      <c r="H215" s="5" t="s">
        <v>77</v>
      </c>
      <c r="I215" s="5" t="s">
        <v>145</v>
      </c>
      <c r="J215" s="5" t="s">
        <v>2659</v>
      </c>
      <c r="K215" s="5" t="s">
        <v>2660</v>
      </c>
      <c r="L215" s="5" t="s">
        <v>2661</v>
      </c>
      <c r="M215" s="5" t="s">
        <v>2662</v>
      </c>
      <c r="N215" s="5" t="s">
        <v>2663</v>
      </c>
      <c r="O215" s="5" t="s">
        <v>2664</v>
      </c>
      <c r="P215" s="5" t="s">
        <v>2665</v>
      </c>
      <c r="Q215" s="5" t="s">
        <v>919</v>
      </c>
      <c r="R215" s="5" t="s">
        <v>2666</v>
      </c>
      <c r="S215" s="5" t="s">
        <v>18</v>
      </c>
      <c r="T215" s="5" t="s">
        <v>70</v>
      </c>
      <c r="U215" s="5" t="s">
        <v>2667</v>
      </c>
      <c r="V215" s="5" t="s">
        <v>72</v>
      </c>
      <c r="W215" s="5"/>
    </row>
    <row r="216" spans="1:23" ht="21" customHeight="1">
      <c r="A216" s="5" t="s">
        <v>2668</v>
      </c>
      <c r="B216" s="5" t="s">
        <v>29</v>
      </c>
      <c r="C216" s="5" t="s">
        <v>2619</v>
      </c>
      <c r="D216" s="5" t="s">
        <v>2656</v>
      </c>
      <c r="E216" s="5" t="s">
        <v>2669</v>
      </c>
      <c r="F216" s="5" t="s">
        <v>2670</v>
      </c>
      <c r="G216" s="5" t="s">
        <v>16</v>
      </c>
      <c r="H216" s="5" t="s">
        <v>77</v>
      </c>
      <c r="I216" s="5" t="s">
        <v>159</v>
      </c>
      <c r="J216" s="5" t="s">
        <v>2671</v>
      </c>
      <c r="K216" s="5" t="s">
        <v>2672</v>
      </c>
      <c r="L216" s="5" t="s">
        <v>2673</v>
      </c>
      <c r="M216" s="5" t="s">
        <v>2674</v>
      </c>
      <c r="N216" s="5" t="s">
        <v>2675</v>
      </c>
      <c r="O216" s="5" t="s">
        <v>2676</v>
      </c>
      <c r="P216" s="5" t="s">
        <v>2677</v>
      </c>
      <c r="Q216" s="5" t="s">
        <v>1005</v>
      </c>
      <c r="R216" s="5" t="s">
        <v>100</v>
      </c>
      <c r="S216" s="5" t="s">
        <v>14</v>
      </c>
      <c r="T216" s="5" t="s">
        <v>70</v>
      </c>
      <c r="U216" s="5" t="s">
        <v>2678</v>
      </c>
      <c r="V216" s="5" t="s">
        <v>72</v>
      </c>
      <c r="W216" s="5"/>
    </row>
    <row r="217" spans="1:23" ht="21" customHeight="1">
      <c r="A217" s="5" t="s">
        <v>2679</v>
      </c>
      <c r="B217" s="5" t="s">
        <v>29</v>
      </c>
      <c r="C217" s="5" t="s">
        <v>2619</v>
      </c>
      <c r="D217" s="5" t="s">
        <v>2656</v>
      </c>
      <c r="E217" s="5" t="s">
        <v>2680</v>
      </c>
      <c r="F217" s="5" t="s">
        <v>2681</v>
      </c>
      <c r="G217" s="5" t="s">
        <v>18</v>
      </c>
      <c r="H217" s="5" t="s">
        <v>77</v>
      </c>
      <c r="I217" s="5" t="s">
        <v>159</v>
      </c>
      <c r="J217" s="5" t="s">
        <v>2682</v>
      </c>
      <c r="K217" s="5" t="s">
        <v>2683</v>
      </c>
      <c r="L217" s="5" t="s">
        <v>2684</v>
      </c>
      <c r="M217" s="5" t="s">
        <v>2685</v>
      </c>
      <c r="N217" s="5" t="s">
        <v>2686</v>
      </c>
      <c r="O217" s="5" t="s">
        <v>2687</v>
      </c>
      <c r="P217" s="5" t="s">
        <v>2688</v>
      </c>
      <c r="Q217" s="5" t="s">
        <v>919</v>
      </c>
      <c r="R217" s="5" t="s">
        <v>100</v>
      </c>
      <c r="S217" s="5" t="s">
        <v>16</v>
      </c>
      <c r="T217" s="5" t="s">
        <v>70</v>
      </c>
      <c r="U217" s="5" t="s">
        <v>2689</v>
      </c>
      <c r="V217" s="5" t="s">
        <v>72</v>
      </c>
      <c r="W217" s="5"/>
    </row>
    <row r="218" spans="1:23" ht="21" customHeight="1">
      <c r="A218" s="5" t="s">
        <v>2690</v>
      </c>
      <c r="B218" s="5" t="s">
        <v>29</v>
      </c>
      <c r="C218" s="5" t="s">
        <v>2619</v>
      </c>
      <c r="D218" s="5" t="s">
        <v>2691</v>
      </c>
      <c r="E218" s="5" t="s">
        <v>2692</v>
      </c>
      <c r="F218" s="5" t="s">
        <v>2693</v>
      </c>
      <c r="G218" s="5" t="s">
        <v>16</v>
      </c>
      <c r="H218" s="5" t="s">
        <v>77</v>
      </c>
      <c r="I218" s="5" t="s">
        <v>145</v>
      </c>
      <c r="J218" s="5" t="s">
        <v>2694</v>
      </c>
      <c r="K218" s="5" t="s">
        <v>2695</v>
      </c>
      <c r="L218" s="5" t="s">
        <v>2696</v>
      </c>
      <c r="M218" s="5" t="s">
        <v>2697</v>
      </c>
      <c r="N218" s="5" t="s">
        <v>2698</v>
      </c>
      <c r="O218" s="5" t="s">
        <v>2699</v>
      </c>
      <c r="P218" s="5" t="s">
        <v>2700</v>
      </c>
      <c r="Q218" s="5" t="s">
        <v>126</v>
      </c>
      <c r="R218" s="5" t="s">
        <v>100</v>
      </c>
      <c r="S218" s="5" t="s">
        <v>14</v>
      </c>
      <c r="T218" s="5" t="s">
        <v>70</v>
      </c>
      <c r="U218" s="5" t="s">
        <v>2701</v>
      </c>
      <c r="V218" s="5" t="s">
        <v>72</v>
      </c>
      <c r="W218" s="5"/>
    </row>
    <row r="219" spans="1:23" ht="21" customHeight="1">
      <c r="A219" s="5" t="s">
        <v>2702</v>
      </c>
      <c r="B219" s="5" t="s">
        <v>29</v>
      </c>
      <c r="C219" s="5" t="s">
        <v>2619</v>
      </c>
      <c r="D219" s="5" t="s">
        <v>2691</v>
      </c>
      <c r="E219" s="5" t="s">
        <v>2703</v>
      </c>
      <c r="F219" s="5" t="s">
        <v>2704</v>
      </c>
      <c r="G219" s="5" t="s">
        <v>20</v>
      </c>
      <c r="H219" s="5" t="s">
        <v>59</v>
      </c>
      <c r="I219" s="5" t="s">
        <v>437</v>
      </c>
      <c r="J219" s="5" t="s">
        <v>2705</v>
      </c>
      <c r="K219" s="5" t="s">
        <v>2706</v>
      </c>
      <c r="L219" s="5" t="s">
        <v>2707</v>
      </c>
      <c r="M219" s="5" t="s">
        <v>2708</v>
      </c>
      <c r="N219" s="5" t="s">
        <v>2709</v>
      </c>
      <c r="O219" s="5" t="s">
        <v>2710</v>
      </c>
      <c r="P219" s="5" t="s">
        <v>2711</v>
      </c>
      <c r="Q219" s="5" t="s">
        <v>2712</v>
      </c>
      <c r="R219" s="5" t="s">
        <v>2128</v>
      </c>
      <c r="S219" s="5" t="s">
        <v>14</v>
      </c>
      <c r="T219" s="5" t="s">
        <v>70</v>
      </c>
      <c r="U219" s="5" t="s">
        <v>2713</v>
      </c>
      <c r="V219" s="5" t="s">
        <v>72</v>
      </c>
      <c r="W219" s="5"/>
    </row>
    <row r="220" spans="1:23" ht="21" customHeight="1">
      <c r="A220" s="5" t="s">
        <v>2714</v>
      </c>
      <c r="B220" s="5" t="s">
        <v>29</v>
      </c>
      <c r="C220" s="5" t="s">
        <v>2619</v>
      </c>
      <c r="D220" s="5" t="s">
        <v>2715</v>
      </c>
      <c r="E220" s="5" t="s">
        <v>2716</v>
      </c>
      <c r="F220" s="5" t="s">
        <v>2717</v>
      </c>
      <c r="G220" s="5" t="s">
        <v>18</v>
      </c>
      <c r="H220" s="5" t="s">
        <v>77</v>
      </c>
      <c r="I220" s="5" t="s">
        <v>159</v>
      </c>
      <c r="J220" s="5" t="s">
        <v>2718</v>
      </c>
      <c r="K220" s="5" t="s">
        <v>2719</v>
      </c>
      <c r="L220" s="5" t="s">
        <v>2720</v>
      </c>
      <c r="M220" s="5" t="s">
        <v>2721</v>
      </c>
      <c r="N220" s="5" t="s">
        <v>2722</v>
      </c>
      <c r="O220" s="5" t="s">
        <v>2723</v>
      </c>
      <c r="P220" s="5" t="s">
        <v>2724</v>
      </c>
      <c r="Q220" s="5" t="s">
        <v>771</v>
      </c>
      <c r="R220" s="5" t="s">
        <v>548</v>
      </c>
      <c r="S220" s="5" t="s">
        <v>16</v>
      </c>
      <c r="T220" s="5" t="s">
        <v>70</v>
      </c>
      <c r="U220" s="5" t="s">
        <v>2725</v>
      </c>
      <c r="V220" s="5" t="s">
        <v>72</v>
      </c>
      <c r="W220" s="5"/>
    </row>
    <row r="221" spans="1:23" ht="21" customHeight="1">
      <c r="A221" s="5" t="s">
        <v>2726</v>
      </c>
      <c r="B221" s="5" t="s">
        <v>29</v>
      </c>
      <c r="C221" s="5" t="s">
        <v>2619</v>
      </c>
      <c r="D221" s="5" t="s">
        <v>2727</v>
      </c>
      <c r="E221" s="5" t="s">
        <v>2728</v>
      </c>
      <c r="F221" s="5" t="s">
        <v>2729</v>
      </c>
      <c r="G221" s="5" t="s">
        <v>16</v>
      </c>
      <c r="H221" s="5" t="s">
        <v>77</v>
      </c>
      <c r="I221" s="5" t="s">
        <v>145</v>
      </c>
      <c r="J221" s="5" t="s">
        <v>2730</v>
      </c>
      <c r="K221" s="5" t="s">
        <v>2731</v>
      </c>
      <c r="L221" s="5" t="s">
        <v>2732</v>
      </c>
      <c r="M221" s="5" t="s">
        <v>2733</v>
      </c>
      <c r="N221" s="5" t="s">
        <v>2734</v>
      </c>
      <c r="O221" s="5" t="s">
        <v>2735</v>
      </c>
      <c r="P221" s="5" t="s">
        <v>2736</v>
      </c>
      <c r="Q221" s="5" t="s">
        <v>2737</v>
      </c>
      <c r="R221" s="5" t="s">
        <v>205</v>
      </c>
      <c r="S221" s="5" t="s">
        <v>16</v>
      </c>
      <c r="T221" s="5" t="s">
        <v>70</v>
      </c>
      <c r="U221" s="5" t="s">
        <v>2738</v>
      </c>
      <c r="V221" s="5" t="s">
        <v>72</v>
      </c>
      <c r="W221" s="5"/>
    </row>
    <row r="222" spans="1:23" ht="21" customHeight="1">
      <c r="A222" s="5" t="s">
        <v>2739</v>
      </c>
      <c r="B222" s="5" t="s">
        <v>29</v>
      </c>
      <c r="C222" s="5" t="s">
        <v>2619</v>
      </c>
      <c r="D222" s="5" t="s">
        <v>2740</v>
      </c>
      <c r="E222" s="5" t="s">
        <v>2741</v>
      </c>
      <c r="F222" s="5" t="s">
        <v>2742</v>
      </c>
      <c r="G222" s="5" t="s">
        <v>20</v>
      </c>
      <c r="H222" s="5" t="s">
        <v>77</v>
      </c>
      <c r="I222" s="5" t="s">
        <v>527</v>
      </c>
      <c r="J222" s="5" t="s">
        <v>2743</v>
      </c>
      <c r="K222" s="5" t="s">
        <v>2744</v>
      </c>
      <c r="L222" s="5" t="s">
        <v>2745</v>
      </c>
      <c r="M222" s="5" t="s">
        <v>2746</v>
      </c>
      <c r="N222" s="5" t="s">
        <v>2747</v>
      </c>
      <c r="O222" s="5" t="s">
        <v>2748</v>
      </c>
      <c r="P222" s="5" t="s">
        <v>2749</v>
      </c>
      <c r="Q222" s="5" t="s">
        <v>2750</v>
      </c>
      <c r="R222" s="5" t="s">
        <v>548</v>
      </c>
      <c r="S222" s="5" t="s">
        <v>16</v>
      </c>
      <c r="T222" s="5" t="s">
        <v>70</v>
      </c>
      <c r="U222" s="5" t="s">
        <v>2751</v>
      </c>
      <c r="V222" s="5" t="s">
        <v>72</v>
      </c>
      <c r="W222" s="5"/>
    </row>
    <row r="223" spans="1:23" ht="21" customHeight="1">
      <c r="A223" s="5" t="s">
        <v>2752</v>
      </c>
      <c r="B223" s="5" t="s">
        <v>29</v>
      </c>
      <c r="C223" s="5" t="s">
        <v>2619</v>
      </c>
      <c r="D223" s="5" t="s">
        <v>2740</v>
      </c>
      <c r="E223" s="5" t="s">
        <v>2753</v>
      </c>
      <c r="F223" s="5" t="s">
        <v>2754</v>
      </c>
      <c r="G223" s="5" t="s">
        <v>20</v>
      </c>
      <c r="H223" s="5" t="s">
        <v>77</v>
      </c>
      <c r="I223" s="5" t="s">
        <v>527</v>
      </c>
      <c r="J223" s="5" t="s">
        <v>2755</v>
      </c>
      <c r="K223" s="5" t="s">
        <v>2756</v>
      </c>
      <c r="L223" s="5" t="s">
        <v>2757</v>
      </c>
      <c r="M223" s="5" t="s">
        <v>2758</v>
      </c>
      <c r="N223" s="5" t="s">
        <v>2759</v>
      </c>
      <c r="O223" s="5" t="s">
        <v>2760</v>
      </c>
      <c r="P223" s="5" t="s">
        <v>2761</v>
      </c>
      <c r="Q223" s="5" t="s">
        <v>2762</v>
      </c>
      <c r="R223" s="5" t="s">
        <v>1749</v>
      </c>
      <c r="S223" s="5" t="s">
        <v>16</v>
      </c>
      <c r="T223" s="5" t="s">
        <v>70</v>
      </c>
      <c r="U223" s="5" t="s">
        <v>2763</v>
      </c>
      <c r="V223" s="5" t="s">
        <v>72</v>
      </c>
      <c r="W223" s="5"/>
    </row>
    <row r="224" spans="1:23" ht="21" customHeight="1">
      <c r="A224" s="5" t="s">
        <v>2764</v>
      </c>
      <c r="B224" s="5" t="s">
        <v>29</v>
      </c>
      <c r="C224" s="5" t="s">
        <v>2619</v>
      </c>
      <c r="D224" s="5" t="s">
        <v>2765</v>
      </c>
      <c r="E224" s="5" t="s">
        <v>2766</v>
      </c>
      <c r="F224" s="5" t="s">
        <v>2767</v>
      </c>
      <c r="G224" s="5" t="s">
        <v>16</v>
      </c>
      <c r="H224" s="5" t="s">
        <v>77</v>
      </c>
      <c r="I224" s="5" t="s">
        <v>159</v>
      </c>
      <c r="J224" s="5" t="s">
        <v>2768</v>
      </c>
      <c r="K224" s="5" t="s">
        <v>2769</v>
      </c>
      <c r="L224" s="5" t="s">
        <v>2770</v>
      </c>
      <c r="M224" s="5" t="s">
        <v>2771</v>
      </c>
      <c r="N224" s="5" t="s">
        <v>2772</v>
      </c>
      <c r="O224" s="5" t="s">
        <v>2773</v>
      </c>
      <c r="P224" s="5" t="s">
        <v>2774</v>
      </c>
      <c r="Q224" s="5" t="s">
        <v>1005</v>
      </c>
      <c r="R224" s="5" t="s">
        <v>100</v>
      </c>
      <c r="S224" s="5" t="s">
        <v>14</v>
      </c>
      <c r="T224" s="5" t="s">
        <v>70</v>
      </c>
      <c r="U224" s="5" t="s">
        <v>2775</v>
      </c>
      <c r="V224" s="5" t="s">
        <v>72</v>
      </c>
      <c r="W224" s="5"/>
    </row>
    <row r="225" spans="1:23" ht="21" customHeight="1">
      <c r="A225" s="5" t="s">
        <v>2776</v>
      </c>
      <c r="B225" s="5" t="s">
        <v>29</v>
      </c>
      <c r="C225" s="5" t="s">
        <v>2619</v>
      </c>
      <c r="D225" s="5" t="s">
        <v>2765</v>
      </c>
      <c r="E225" s="5" t="s">
        <v>2777</v>
      </c>
      <c r="F225" s="5" t="s">
        <v>2778</v>
      </c>
      <c r="G225" s="5" t="s">
        <v>16</v>
      </c>
      <c r="H225" s="5" t="s">
        <v>77</v>
      </c>
      <c r="I225" s="5" t="s">
        <v>159</v>
      </c>
      <c r="J225" s="5" t="s">
        <v>2779</v>
      </c>
      <c r="K225" s="5" t="s">
        <v>2780</v>
      </c>
      <c r="L225" s="5" t="s">
        <v>2781</v>
      </c>
      <c r="M225" s="5" t="s">
        <v>2782</v>
      </c>
      <c r="N225" s="5" t="s">
        <v>2783</v>
      </c>
      <c r="O225" s="5" t="s">
        <v>2784</v>
      </c>
      <c r="P225" s="5" t="s">
        <v>2785</v>
      </c>
      <c r="Q225" s="5" t="s">
        <v>1005</v>
      </c>
      <c r="R225" s="5" t="s">
        <v>100</v>
      </c>
      <c r="S225" s="5" t="s">
        <v>14</v>
      </c>
      <c r="T225" s="5" t="s">
        <v>70</v>
      </c>
      <c r="U225" s="5" t="s">
        <v>2786</v>
      </c>
      <c r="V225" s="5" t="s">
        <v>72</v>
      </c>
      <c r="W225" s="5"/>
    </row>
    <row r="226" spans="1:23" ht="21" customHeight="1">
      <c r="A226" s="5" t="s">
        <v>2787</v>
      </c>
      <c r="B226" s="5" t="s">
        <v>29</v>
      </c>
      <c r="C226" s="5" t="s">
        <v>2619</v>
      </c>
      <c r="D226" s="5" t="s">
        <v>332</v>
      </c>
      <c r="E226" s="5" t="s">
        <v>2788</v>
      </c>
      <c r="F226" s="5" t="s">
        <v>2789</v>
      </c>
      <c r="G226" s="5" t="s">
        <v>20</v>
      </c>
      <c r="H226" s="5" t="s">
        <v>2790</v>
      </c>
      <c r="I226" s="5" t="s">
        <v>336</v>
      </c>
      <c r="J226" s="5" t="s">
        <v>2791</v>
      </c>
      <c r="K226" s="5" t="s">
        <v>2792</v>
      </c>
      <c r="L226" s="5" t="s">
        <v>1565</v>
      </c>
      <c r="M226" s="5" t="s">
        <v>2793</v>
      </c>
      <c r="N226" s="5" t="s">
        <v>2794</v>
      </c>
      <c r="O226" s="5" t="s">
        <v>2795</v>
      </c>
      <c r="P226" s="5" t="s">
        <v>2727</v>
      </c>
      <c r="Q226" s="5" t="s">
        <v>1259</v>
      </c>
      <c r="R226" s="5" t="s">
        <v>345</v>
      </c>
      <c r="S226" s="5" t="s">
        <v>22</v>
      </c>
      <c r="T226" s="5" t="s">
        <v>346</v>
      </c>
      <c r="U226" s="5" t="s">
        <v>2796</v>
      </c>
      <c r="V226" s="5" t="s">
        <v>72</v>
      </c>
      <c r="W226" s="5"/>
    </row>
    <row r="227" spans="1:23" ht="21" customHeight="1">
      <c r="A227" s="5" t="s">
        <v>2797</v>
      </c>
      <c r="B227" s="5" t="s">
        <v>29</v>
      </c>
      <c r="C227" s="5" t="s">
        <v>2619</v>
      </c>
      <c r="D227" s="5" t="s">
        <v>332</v>
      </c>
      <c r="E227" s="5" t="s">
        <v>2798</v>
      </c>
      <c r="F227" s="5" t="s">
        <v>2799</v>
      </c>
      <c r="G227" s="5" t="s">
        <v>20</v>
      </c>
      <c r="H227" s="5" t="s">
        <v>2790</v>
      </c>
      <c r="I227" s="5" t="s">
        <v>336</v>
      </c>
      <c r="J227" s="5" t="s">
        <v>2800</v>
      </c>
      <c r="K227" s="5" t="s">
        <v>2801</v>
      </c>
      <c r="L227" s="5" t="s">
        <v>1565</v>
      </c>
      <c r="M227" s="5" t="s">
        <v>2802</v>
      </c>
      <c r="N227" s="5" t="s">
        <v>2803</v>
      </c>
      <c r="O227" s="5" t="s">
        <v>2804</v>
      </c>
      <c r="P227" s="5" t="s">
        <v>2805</v>
      </c>
      <c r="Q227" s="5" t="s">
        <v>2806</v>
      </c>
      <c r="R227" s="5" t="s">
        <v>345</v>
      </c>
      <c r="S227" s="5" t="s">
        <v>22</v>
      </c>
      <c r="T227" s="5" t="s">
        <v>346</v>
      </c>
      <c r="U227" s="5" t="s">
        <v>2807</v>
      </c>
      <c r="V227" s="5" t="s">
        <v>72</v>
      </c>
      <c r="W227" s="5"/>
    </row>
    <row r="228" spans="1:23" ht="21" customHeight="1">
      <c r="A228" s="5" t="s">
        <v>2808</v>
      </c>
      <c r="B228" s="5" t="s">
        <v>29</v>
      </c>
      <c r="C228" s="5" t="s">
        <v>2619</v>
      </c>
      <c r="D228" s="5" t="s">
        <v>2809</v>
      </c>
      <c r="E228" s="5" t="s">
        <v>2810</v>
      </c>
      <c r="F228" s="5" t="s">
        <v>2811</v>
      </c>
      <c r="G228" s="5" t="s">
        <v>16</v>
      </c>
      <c r="H228" s="5" t="s">
        <v>77</v>
      </c>
      <c r="I228" s="5" t="s">
        <v>145</v>
      </c>
      <c r="J228" s="5" t="s">
        <v>2812</v>
      </c>
      <c r="K228" s="5" t="s">
        <v>2813</v>
      </c>
      <c r="L228" s="5" t="s">
        <v>2814</v>
      </c>
      <c r="M228" s="5" t="s">
        <v>2815</v>
      </c>
      <c r="N228" s="5" t="s">
        <v>2816</v>
      </c>
      <c r="O228" s="5" t="s">
        <v>2817</v>
      </c>
      <c r="P228" s="5" t="s">
        <v>2736</v>
      </c>
      <c r="Q228" s="5" t="s">
        <v>2818</v>
      </c>
      <c r="R228" s="5" t="s">
        <v>100</v>
      </c>
      <c r="S228" s="5" t="s">
        <v>14</v>
      </c>
      <c r="T228" s="5" t="s">
        <v>70</v>
      </c>
      <c r="U228" s="5" t="s">
        <v>2819</v>
      </c>
      <c r="V228" s="5" t="s">
        <v>72</v>
      </c>
      <c r="W228" s="5"/>
    </row>
    <row r="229" spans="1:23" ht="21" customHeight="1">
      <c r="A229" s="5" t="s">
        <v>2820</v>
      </c>
      <c r="B229" s="5" t="s">
        <v>29</v>
      </c>
      <c r="C229" s="5" t="s">
        <v>2619</v>
      </c>
      <c r="D229" s="5" t="s">
        <v>2809</v>
      </c>
      <c r="E229" s="5" t="s">
        <v>2821</v>
      </c>
      <c r="F229" s="5" t="s">
        <v>2822</v>
      </c>
      <c r="G229" s="5" t="s">
        <v>18</v>
      </c>
      <c r="H229" s="5" t="s">
        <v>77</v>
      </c>
      <c r="I229" s="5" t="s">
        <v>159</v>
      </c>
      <c r="J229" s="5" t="s">
        <v>2823</v>
      </c>
      <c r="K229" s="5" t="s">
        <v>2824</v>
      </c>
      <c r="L229" s="5" t="s">
        <v>2825</v>
      </c>
      <c r="M229" s="5" t="s">
        <v>2826</v>
      </c>
      <c r="N229" s="5" t="s">
        <v>2827</v>
      </c>
      <c r="O229" s="5" t="s">
        <v>2828</v>
      </c>
      <c r="P229" s="5" t="s">
        <v>2829</v>
      </c>
      <c r="Q229" s="5" t="s">
        <v>2571</v>
      </c>
      <c r="R229" s="5" t="s">
        <v>100</v>
      </c>
      <c r="S229" s="5" t="s">
        <v>14</v>
      </c>
      <c r="T229" s="5" t="s">
        <v>70</v>
      </c>
      <c r="U229" s="5" t="s">
        <v>2830</v>
      </c>
      <c r="V229" s="5" t="s">
        <v>72</v>
      </c>
      <c r="W229" s="5"/>
    </row>
    <row r="230" spans="1:23" ht="21" customHeight="1">
      <c r="A230" s="5" t="s">
        <v>2831</v>
      </c>
      <c r="B230" s="5" t="s">
        <v>29</v>
      </c>
      <c r="C230" s="5" t="s">
        <v>2619</v>
      </c>
      <c r="D230" s="5" t="s">
        <v>2809</v>
      </c>
      <c r="E230" s="5" t="s">
        <v>2832</v>
      </c>
      <c r="F230" s="5" t="s">
        <v>2833</v>
      </c>
      <c r="G230" s="5" t="s">
        <v>18</v>
      </c>
      <c r="H230" s="5" t="s">
        <v>77</v>
      </c>
      <c r="I230" s="5" t="s">
        <v>159</v>
      </c>
      <c r="J230" s="5" t="s">
        <v>2834</v>
      </c>
      <c r="K230" s="5" t="s">
        <v>2835</v>
      </c>
      <c r="L230" s="5" t="s">
        <v>2836</v>
      </c>
      <c r="M230" s="5" t="s">
        <v>2837</v>
      </c>
      <c r="N230" s="5" t="s">
        <v>2838</v>
      </c>
      <c r="O230" s="5" t="s">
        <v>2839</v>
      </c>
      <c r="P230" s="5" t="s">
        <v>2840</v>
      </c>
      <c r="Q230" s="5" t="s">
        <v>2818</v>
      </c>
      <c r="R230" s="5" t="s">
        <v>100</v>
      </c>
      <c r="S230" s="5" t="s">
        <v>14</v>
      </c>
      <c r="T230" s="5" t="s">
        <v>70</v>
      </c>
      <c r="U230" s="5" t="s">
        <v>2841</v>
      </c>
      <c r="V230" s="5" t="s">
        <v>72</v>
      </c>
      <c r="W230" s="5"/>
    </row>
    <row r="231" spans="1:23" ht="21" customHeight="1">
      <c r="A231" s="5" t="s">
        <v>2842</v>
      </c>
      <c r="B231" s="5" t="s">
        <v>29</v>
      </c>
      <c r="C231" s="5" t="s">
        <v>2619</v>
      </c>
      <c r="D231" s="5" t="s">
        <v>2843</v>
      </c>
      <c r="E231" s="5" t="s">
        <v>2844</v>
      </c>
      <c r="F231" s="5" t="s">
        <v>2845</v>
      </c>
      <c r="G231" s="5" t="s">
        <v>18</v>
      </c>
      <c r="H231" s="5" t="s">
        <v>77</v>
      </c>
      <c r="I231" s="5" t="s">
        <v>159</v>
      </c>
      <c r="J231" s="5" t="s">
        <v>2846</v>
      </c>
      <c r="K231" s="5" t="s">
        <v>2847</v>
      </c>
      <c r="L231" s="5" t="s">
        <v>2848</v>
      </c>
      <c r="M231" s="5" t="s">
        <v>2849</v>
      </c>
      <c r="N231" s="5" t="s">
        <v>2850</v>
      </c>
      <c r="O231" s="5" t="s">
        <v>2851</v>
      </c>
      <c r="P231" s="5" t="s">
        <v>2852</v>
      </c>
      <c r="Q231" s="5" t="s">
        <v>2853</v>
      </c>
      <c r="R231" s="5" t="s">
        <v>100</v>
      </c>
      <c r="S231" s="5" t="s">
        <v>14</v>
      </c>
      <c r="T231" s="5" t="s">
        <v>70</v>
      </c>
      <c r="U231" s="5" t="s">
        <v>2854</v>
      </c>
      <c r="V231" s="5" t="s">
        <v>72</v>
      </c>
      <c r="W231" s="5"/>
    </row>
    <row r="232" spans="1:23" ht="21" customHeight="1">
      <c r="A232" s="5" t="s">
        <v>2855</v>
      </c>
      <c r="B232" s="5" t="s">
        <v>29</v>
      </c>
      <c r="C232" s="5" t="s">
        <v>2619</v>
      </c>
      <c r="D232" s="5" t="s">
        <v>2843</v>
      </c>
      <c r="E232" s="5" t="s">
        <v>2856</v>
      </c>
      <c r="F232" s="5" t="s">
        <v>2857</v>
      </c>
      <c r="G232" s="5" t="s">
        <v>18</v>
      </c>
      <c r="H232" s="5" t="s">
        <v>77</v>
      </c>
      <c r="I232" s="5" t="s">
        <v>159</v>
      </c>
      <c r="J232" s="5" t="s">
        <v>2858</v>
      </c>
      <c r="K232" s="5" t="s">
        <v>2859</v>
      </c>
      <c r="L232" s="5" t="s">
        <v>2860</v>
      </c>
      <c r="M232" s="5" t="s">
        <v>2861</v>
      </c>
      <c r="N232" s="5" t="s">
        <v>2862</v>
      </c>
      <c r="O232" s="5" t="s">
        <v>2863</v>
      </c>
      <c r="P232" s="5" t="s">
        <v>2864</v>
      </c>
      <c r="Q232" s="5" t="s">
        <v>919</v>
      </c>
      <c r="R232" s="5" t="s">
        <v>100</v>
      </c>
      <c r="S232" s="5" t="s">
        <v>16</v>
      </c>
      <c r="T232" s="5" t="s">
        <v>70</v>
      </c>
      <c r="U232" s="5" t="s">
        <v>2865</v>
      </c>
      <c r="V232" s="5" t="s">
        <v>72</v>
      </c>
      <c r="W232" s="5"/>
    </row>
    <row r="233" spans="1:23" ht="21" customHeight="1">
      <c r="A233" s="5" t="s">
        <v>2866</v>
      </c>
      <c r="B233" s="5" t="s">
        <v>29</v>
      </c>
      <c r="C233" s="5" t="s">
        <v>2619</v>
      </c>
      <c r="D233" s="5" t="s">
        <v>2867</v>
      </c>
      <c r="E233" s="5" t="s">
        <v>2868</v>
      </c>
      <c r="F233" s="5" t="s">
        <v>2869</v>
      </c>
      <c r="G233" s="5" t="s">
        <v>16</v>
      </c>
      <c r="H233" s="5" t="s">
        <v>77</v>
      </c>
      <c r="I233" s="5" t="s">
        <v>145</v>
      </c>
      <c r="J233" s="5" t="s">
        <v>2870</v>
      </c>
      <c r="K233" s="5" t="s">
        <v>2871</v>
      </c>
      <c r="L233" s="5" t="s">
        <v>2872</v>
      </c>
      <c r="M233" s="5" t="s">
        <v>2873</v>
      </c>
      <c r="N233" s="5" t="s">
        <v>2874</v>
      </c>
      <c r="O233" s="5" t="s">
        <v>2875</v>
      </c>
      <c r="P233" s="5" t="s">
        <v>343</v>
      </c>
      <c r="Q233" s="5" t="s">
        <v>2876</v>
      </c>
      <c r="R233" s="5" t="s">
        <v>87</v>
      </c>
      <c r="S233" s="5" t="s">
        <v>14</v>
      </c>
      <c r="T233" s="5" t="s">
        <v>70</v>
      </c>
      <c r="U233" s="5" t="s">
        <v>2877</v>
      </c>
      <c r="V233" s="5" t="s">
        <v>72</v>
      </c>
      <c r="W233" s="5"/>
    </row>
    <row r="234" spans="1:23" ht="21" customHeight="1">
      <c r="A234" s="5" t="s">
        <v>2878</v>
      </c>
      <c r="B234" s="5" t="s">
        <v>29</v>
      </c>
      <c r="C234" s="5" t="s">
        <v>2619</v>
      </c>
      <c r="D234" s="5" t="s">
        <v>2867</v>
      </c>
      <c r="E234" s="5" t="s">
        <v>2879</v>
      </c>
      <c r="F234" s="5" t="s">
        <v>2880</v>
      </c>
      <c r="G234" s="5" t="s">
        <v>16</v>
      </c>
      <c r="H234" s="5" t="s">
        <v>77</v>
      </c>
      <c r="I234" s="5" t="s">
        <v>159</v>
      </c>
      <c r="J234" s="5" t="s">
        <v>2881</v>
      </c>
      <c r="K234" s="5" t="s">
        <v>2882</v>
      </c>
      <c r="L234" s="5" t="s">
        <v>2883</v>
      </c>
      <c r="M234" s="5" t="s">
        <v>2884</v>
      </c>
      <c r="N234" s="5" t="s">
        <v>2885</v>
      </c>
      <c r="O234" s="5" t="s">
        <v>2886</v>
      </c>
      <c r="P234" s="5" t="s">
        <v>2887</v>
      </c>
      <c r="Q234" s="5" t="s">
        <v>2888</v>
      </c>
      <c r="R234" s="5" t="s">
        <v>205</v>
      </c>
      <c r="S234" s="5" t="s">
        <v>16</v>
      </c>
      <c r="T234" s="5" t="s">
        <v>70</v>
      </c>
      <c r="U234" s="5" t="s">
        <v>2889</v>
      </c>
      <c r="V234" s="5" t="s">
        <v>72</v>
      </c>
      <c r="W234" s="5"/>
    </row>
    <row r="235" spans="1:23" ht="21" customHeight="1">
      <c r="A235" s="5" t="s">
        <v>2890</v>
      </c>
      <c r="B235" s="5" t="s">
        <v>29</v>
      </c>
      <c r="C235" s="5" t="s">
        <v>2619</v>
      </c>
      <c r="D235" s="5" t="s">
        <v>2867</v>
      </c>
      <c r="E235" s="5" t="s">
        <v>2891</v>
      </c>
      <c r="F235" s="5" t="s">
        <v>2892</v>
      </c>
      <c r="G235" s="5" t="s">
        <v>16</v>
      </c>
      <c r="H235" s="5" t="s">
        <v>77</v>
      </c>
      <c r="I235" s="5" t="s">
        <v>159</v>
      </c>
      <c r="J235" s="5" t="s">
        <v>2893</v>
      </c>
      <c r="K235" s="5" t="s">
        <v>2894</v>
      </c>
      <c r="L235" s="5" t="s">
        <v>2895</v>
      </c>
      <c r="M235" s="5" t="s">
        <v>2896</v>
      </c>
      <c r="N235" s="5" t="s">
        <v>2897</v>
      </c>
      <c r="O235" s="5" t="s">
        <v>2898</v>
      </c>
      <c r="P235" s="5" t="s">
        <v>343</v>
      </c>
      <c r="Q235" s="5" t="s">
        <v>1005</v>
      </c>
      <c r="R235" s="5" t="s">
        <v>100</v>
      </c>
      <c r="S235" s="5" t="s">
        <v>14</v>
      </c>
      <c r="T235" s="5" t="s">
        <v>70</v>
      </c>
      <c r="U235" s="5" t="s">
        <v>2899</v>
      </c>
      <c r="V235" s="5" t="s">
        <v>72</v>
      </c>
      <c r="W235" s="5"/>
    </row>
    <row r="236" spans="1:23" ht="21" customHeight="1">
      <c r="A236" s="5" t="s">
        <v>2900</v>
      </c>
      <c r="B236" s="5" t="s">
        <v>29</v>
      </c>
      <c r="C236" s="5" t="s">
        <v>2619</v>
      </c>
      <c r="D236" s="5" t="s">
        <v>2901</v>
      </c>
      <c r="E236" s="5" t="s">
        <v>2902</v>
      </c>
      <c r="F236" s="5" t="s">
        <v>2903</v>
      </c>
      <c r="G236" s="5" t="s">
        <v>16</v>
      </c>
      <c r="H236" s="5" t="s">
        <v>77</v>
      </c>
      <c r="I236" s="5" t="s">
        <v>159</v>
      </c>
      <c r="J236" s="5" t="s">
        <v>2904</v>
      </c>
      <c r="K236" s="5" t="s">
        <v>2905</v>
      </c>
      <c r="L236" s="5" t="s">
        <v>2906</v>
      </c>
      <c r="M236" s="5" t="s">
        <v>2907</v>
      </c>
      <c r="N236" s="5" t="s">
        <v>2908</v>
      </c>
      <c r="O236" s="5" t="s">
        <v>2909</v>
      </c>
      <c r="P236" s="5" t="s">
        <v>422</v>
      </c>
      <c r="Q236" s="5" t="s">
        <v>2910</v>
      </c>
      <c r="R236" s="5" t="s">
        <v>205</v>
      </c>
      <c r="S236" s="5" t="s">
        <v>16</v>
      </c>
      <c r="T236" s="5" t="s">
        <v>70</v>
      </c>
      <c r="U236" s="5" t="s">
        <v>2911</v>
      </c>
      <c r="V236" s="5" t="s">
        <v>72</v>
      </c>
      <c r="W236" s="5"/>
    </row>
    <row r="237" spans="1:23" ht="21" customHeight="1">
      <c r="A237" s="5" t="s">
        <v>2912</v>
      </c>
      <c r="B237" s="5" t="s">
        <v>29</v>
      </c>
      <c r="C237" s="5" t="s">
        <v>2619</v>
      </c>
      <c r="D237" s="5" t="s">
        <v>2913</v>
      </c>
      <c r="E237" s="5" t="s">
        <v>2914</v>
      </c>
      <c r="F237" s="5" t="s">
        <v>2915</v>
      </c>
      <c r="G237" s="5" t="s">
        <v>18</v>
      </c>
      <c r="H237" s="5" t="s">
        <v>77</v>
      </c>
      <c r="I237" s="5" t="s">
        <v>159</v>
      </c>
      <c r="J237" s="5" t="s">
        <v>2916</v>
      </c>
      <c r="K237" s="5" t="s">
        <v>2917</v>
      </c>
      <c r="L237" s="5" t="s">
        <v>2918</v>
      </c>
      <c r="M237" s="5" t="s">
        <v>2919</v>
      </c>
      <c r="N237" s="5" t="s">
        <v>2920</v>
      </c>
      <c r="O237" s="5" t="s">
        <v>2921</v>
      </c>
      <c r="P237" s="5" t="s">
        <v>2922</v>
      </c>
      <c r="Q237" s="5" t="s">
        <v>760</v>
      </c>
      <c r="R237" s="5" t="s">
        <v>100</v>
      </c>
      <c r="S237" s="5" t="s">
        <v>14</v>
      </c>
      <c r="T237" s="5" t="s">
        <v>70</v>
      </c>
      <c r="U237" s="5" t="s">
        <v>2923</v>
      </c>
      <c r="V237" s="5" t="s">
        <v>72</v>
      </c>
      <c r="W237" s="5"/>
    </row>
    <row r="238" spans="1:23" ht="21" customHeight="1">
      <c r="A238" s="5" t="s">
        <v>2924</v>
      </c>
      <c r="B238" s="5" t="s">
        <v>29</v>
      </c>
      <c r="C238" s="5" t="s">
        <v>2619</v>
      </c>
      <c r="D238" s="5" t="s">
        <v>2913</v>
      </c>
      <c r="E238" s="5" t="s">
        <v>2925</v>
      </c>
      <c r="F238" s="5" t="s">
        <v>2926</v>
      </c>
      <c r="G238" s="5" t="s">
        <v>18</v>
      </c>
      <c r="H238" s="5" t="s">
        <v>77</v>
      </c>
      <c r="I238" s="5" t="s">
        <v>159</v>
      </c>
      <c r="J238" s="5" t="s">
        <v>2927</v>
      </c>
      <c r="K238" s="5" t="s">
        <v>2928</v>
      </c>
      <c r="L238" s="5" t="s">
        <v>2929</v>
      </c>
      <c r="M238" s="5" t="s">
        <v>1013</v>
      </c>
      <c r="N238" s="5" t="s">
        <v>2930</v>
      </c>
      <c r="O238" s="5" t="s">
        <v>2931</v>
      </c>
      <c r="P238" s="5" t="s">
        <v>2932</v>
      </c>
      <c r="Q238" s="5" t="s">
        <v>919</v>
      </c>
      <c r="R238" s="5" t="s">
        <v>100</v>
      </c>
      <c r="S238" s="5" t="s">
        <v>16</v>
      </c>
      <c r="T238" s="5" t="s">
        <v>70</v>
      </c>
      <c r="U238" s="5" t="s">
        <v>2933</v>
      </c>
      <c r="V238" s="5" t="s">
        <v>72</v>
      </c>
      <c r="W238" s="5"/>
    </row>
    <row r="239" spans="1:23" ht="21" customHeight="1">
      <c r="A239" s="5" t="s">
        <v>2934</v>
      </c>
      <c r="B239" s="5" t="s">
        <v>29</v>
      </c>
      <c r="C239" s="5" t="s">
        <v>2619</v>
      </c>
      <c r="D239" s="5" t="s">
        <v>2913</v>
      </c>
      <c r="E239" s="5" t="s">
        <v>2935</v>
      </c>
      <c r="F239" s="5" t="s">
        <v>2936</v>
      </c>
      <c r="G239" s="5" t="s">
        <v>18</v>
      </c>
      <c r="H239" s="5" t="s">
        <v>77</v>
      </c>
      <c r="I239" s="5" t="s">
        <v>159</v>
      </c>
      <c r="J239" s="5" t="s">
        <v>2937</v>
      </c>
      <c r="K239" s="5" t="s">
        <v>2938</v>
      </c>
      <c r="L239" s="5" t="s">
        <v>2939</v>
      </c>
      <c r="M239" s="5" t="s">
        <v>2940</v>
      </c>
      <c r="N239" s="5" t="s">
        <v>2941</v>
      </c>
      <c r="O239" s="5" t="s">
        <v>2942</v>
      </c>
      <c r="P239" s="5" t="s">
        <v>343</v>
      </c>
      <c r="Q239" s="5" t="s">
        <v>1005</v>
      </c>
      <c r="R239" s="5" t="s">
        <v>100</v>
      </c>
      <c r="S239" s="5" t="s">
        <v>14</v>
      </c>
      <c r="T239" s="5" t="s">
        <v>70</v>
      </c>
      <c r="U239" s="5" t="s">
        <v>2943</v>
      </c>
      <c r="V239" s="5" t="s">
        <v>72</v>
      </c>
      <c r="W239" s="5"/>
    </row>
    <row r="240" spans="1:23" ht="21" customHeight="1">
      <c r="A240" s="5" t="s">
        <v>2944</v>
      </c>
      <c r="B240" s="5" t="s">
        <v>29</v>
      </c>
      <c r="C240" s="5" t="s">
        <v>2619</v>
      </c>
      <c r="D240" s="5" t="s">
        <v>2913</v>
      </c>
      <c r="E240" s="5" t="s">
        <v>2945</v>
      </c>
      <c r="F240" s="5" t="s">
        <v>2946</v>
      </c>
      <c r="G240" s="5" t="s">
        <v>18</v>
      </c>
      <c r="H240" s="5" t="s">
        <v>77</v>
      </c>
      <c r="I240" s="5" t="s">
        <v>159</v>
      </c>
      <c r="J240" s="5" t="s">
        <v>2947</v>
      </c>
      <c r="K240" s="5" t="s">
        <v>2948</v>
      </c>
      <c r="L240" s="5" t="s">
        <v>2949</v>
      </c>
      <c r="M240" s="5" t="s">
        <v>2950</v>
      </c>
      <c r="N240" s="5" t="s">
        <v>2951</v>
      </c>
      <c r="O240" s="5" t="s">
        <v>2952</v>
      </c>
      <c r="P240" s="5" t="s">
        <v>2953</v>
      </c>
      <c r="Q240" s="5" t="s">
        <v>919</v>
      </c>
      <c r="R240" s="5" t="s">
        <v>205</v>
      </c>
      <c r="S240" s="5" t="s">
        <v>16</v>
      </c>
      <c r="T240" s="5" t="s">
        <v>70</v>
      </c>
      <c r="U240" s="5" t="s">
        <v>2954</v>
      </c>
      <c r="V240" s="5" t="s">
        <v>72</v>
      </c>
      <c r="W240" s="5"/>
    </row>
    <row r="241" spans="1:23" ht="21" customHeight="1">
      <c r="A241" s="5" t="s">
        <v>2955</v>
      </c>
      <c r="B241" s="5" t="s">
        <v>29</v>
      </c>
      <c r="C241" s="5" t="s">
        <v>2619</v>
      </c>
      <c r="D241" s="5" t="s">
        <v>2913</v>
      </c>
      <c r="E241" s="5" t="s">
        <v>2956</v>
      </c>
      <c r="F241" s="5" t="s">
        <v>2957</v>
      </c>
      <c r="G241" s="5" t="s">
        <v>18</v>
      </c>
      <c r="H241" s="5" t="s">
        <v>77</v>
      </c>
      <c r="I241" s="5" t="s">
        <v>159</v>
      </c>
      <c r="J241" s="5" t="s">
        <v>2958</v>
      </c>
      <c r="K241" s="5" t="s">
        <v>2959</v>
      </c>
      <c r="L241" s="5" t="s">
        <v>2960</v>
      </c>
      <c r="M241" s="5" t="s">
        <v>2961</v>
      </c>
      <c r="N241" s="5" t="s">
        <v>2962</v>
      </c>
      <c r="O241" s="5" t="s">
        <v>2963</v>
      </c>
      <c r="P241" s="5" t="s">
        <v>1127</v>
      </c>
      <c r="Q241" s="5" t="s">
        <v>919</v>
      </c>
      <c r="R241" s="5" t="s">
        <v>205</v>
      </c>
      <c r="S241" s="5" t="s">
        <v>16</v>
      </c>
      <c r="T241" s="5" t="s">
        <v>70</v>
      </c>
      <c r="U241" s="5" t="s">
        <v>2964</v>
      </c>
      <c r="V241" s="5" t="s">
        <v>72</v>
      </c>
      <c r="W241" s="5"/>
    </row>
    <row r="242" spans="1:23" ht="21" customHeight="1">
      <c r="A242" s="5" t="s">
        <v>2965</v>
      </c>
      <c r="B242" s="5" t="s">
        <v>30</v>
      </c>
      <c r="C242" s="5" t="s">
        <v>2966</v>
      </c>
      <c r="D242" s="5" t="s">
        <v>2967</v>
      </c>
      <c r="E242" s="5" t="s">
        <v>2968</v>
      </c>
      <c r="F242" s="5" t="s">
        <v>2969</v>
      </c>
      <c r="G242" s="5" t="s">
        <v>18</v>
      </c>
      <c r="H242" s="5" t="s">
        <v>77</v>
      </c>
      <c r="I242" s="5" t="s">
        <v>159</v>
      </c>
      <c r="J242" s="5" t="s">
        <v>2970</v>
      </c>
      <c r="K242" s="5" t="s">
        <v>2971</v>
      </c>
      <c r="L242" s="5" t="s">
        <v>2972</v>
      </c>
      <c r="M242" s="5" t="s">
        <v>2973</v>
      </c>
      <c r="N242" s="5" t="s">
        <v>2974</v>
      </c>
      <c r="O242" s="5" t="s">
        <v>2975</v>
      </c>
      <c r="P242" s="5" t="s">
        <v>2976</v>
      </c>
      <c r="Q242" s="5" t="s">
        <v>2977</v>
      </c>
      <c r="R242" s="5" t="s">
        <v>809</v>
      </c>
      <c r="S242" s="5" t="s">
        <v>18</v>
      </c>
      <c r="T242" s="5" t="s">
        <v>1379</v>
      </c>
      <c r="U242" s="5" t="s">
        <v>2978</v>
      </c>
      <c r="V242" s="5" t="s">
        <v>72</v>
      </c>
      <c r="W242" s="5"/>
    </row>
    <row r="243" spans="1:23" ht="21" customHeight="1">
      <c r="A243" s="5" t="s">
        <v>2979</v>
      </c>
      <c r="B243" s="5" t="s">
        <v>30</v>
      </c>
      <c r="C243" s="5" t="s">
        <v>2966</v>
      </c>
      <c r="D243" s="5" t="s">
        <v>2980</v>
      </c>
      <c r="E243" s="5" t="s">
        <v>2981</v>
      </c>
      <c r="F243" s="5" t="s">
        <v>2982</v>
      </c>
      <c r="G243" s="5" t="s">
        <v>16</v>
      </c>
      <c r="H243" s="5" t="s">
        <v>77</v>
      </c>
      <c r="I243" s="5" t="s">
        <v>159</v>
      </c>
      <c r="J243" s="5" t="s">
        <v>2983</v>
      </c>
      <c r="K243" s="5" t="s">
        <v>2984</v>
      </c>
      <c r="L243" s="5" t="s">
        <v>2985</v>
      </c>
      <c r="M243" s="5" t="s">
        <v>2986</v>
      </c>
      <c r="N243" s="5" t="s">
        <v>2987</v>
      </c>
      <c r="O243" s="5" t="s">
        <v>2988</v>
      </c>
      <c r="P243" s="5" t="s">
        <v>2989</v>
      </c>
      <c r="Q243" s="5" t="s">
        <v>919</v>
      </c>
      <c r="R243" s="5" t="s">
        <v>100</v>
      </c>
      <c r="S243" s="5" t="s">
        <v>14</v>
      </c>
      <c r="T243" s="5" t="s">
        <v>70</v>
      </c>
      <c r="U243" s="5" t="s">
        <v>2990</v>
      </c>
      <c r="V243" s="5" t="s">
        <v>72</v>
      </c>
      <c r="W243" s="5"/>
    </row>
    <row r="244" spans="1:23" ht="21" customHeight="1">
      <c r="A244" s="5" t="s">
        <v>2991</v>
      </c>
      <c r="B244" s="5" t="s">
        <v>30</v>
      </c>
      <c r="C244" s="5" t="s">
        <v>2966</v>
      </c>
      <c r="D244" s="5" t="s">
        <v>2980</v>
      </c>
      <c r="E244" s="5" t="s">
        <v>2992</v>
      </c>
      <c r="F244" s="5" t="s">
        <v>2993</v>
      </c>
      <c r="G244" s="5" t="s">
        <v>18</v>
      </c>
      <c r="H244" s="5" t="s">
        <v>77</v>
      </c>
      <c r="I244" s="5" t="s">
        <v>159</v>
      </c>
      <c r="J244" s="5" t="s">
        <v>2994</v>
      </c>
      <c r="K244" s="5" t="s">
        <v>2995</v>
      </c>
      <c r="L244" s="5" t="s">
        <v>2996</v>
      </c>
      <c r="M244" s="5" t="s">
        <v>2997</v>
      </c>
      <c r="N244" s="5" t="s">
        <v>2998</v>
      </c>
      <c r="O244" s="5" t="s">
        <v>2999</v>
      </c>
      <c r="P244" s="5" t="s">
        <v>3000</v>
      </c>
      <c r="Q244" s="5" t="s">
        <v>919</v>
      </c>
      <c r="R244" s="5" t="s">
        <v>205</v>
      </c>
      <c r="S244" s="5" t="s">
        <v>16</v>
      </c>
      <c r="T244" s="5" t="s">
        <v>70</v>
      </c>
      <c r="U244" s="5" t="s">
        <v>3001</v>
      </c>
      <c r="V244" s="5" t="s">
        <v>72</v>
      </c>
      <c r="W244" s="5"/>
    </row>
    <row r="245" spans="1:23" ht="21" customHeight="1">
      <c r="A245" s="5" t="s">
        <v>3002</v>
      </c>
      <c r="B245" s="5" t="s">
        <v>30</v>
      </c>
      <c r="C245" s="5" t="s">
        <v>2966</v>
      </c>
      <c r="D245" s="5" t="s">
        <v>2980</v>
      </c>
      <c r="E245" s="5" t="s">
        <v>3003</v>
      </c>
      <c r="F245" s="5" t="s">
        <v>3004</v>
      </c>
      <c r="G245" s="5" t="s">
        <v>18</v>
      </c>
      <c r="H245" s="5" t="s">
        <v>77</v>
      </c>
      <c r="I245" s="5" t="s">
        <v>159</v>
      </c>
      <c r="J245" s="5" t="s">
        <v>3005</v>
      </c>
      <c r="K245" s="5" t="s">
        <v>3006</v>
      </c>
      <c r="L245" s="5" t="s">
        <v>3007</v>
      </c>
      <c r="M245" s="5" t="s">
        <v>3008</v>
      </c>
      <c r="N245" s="5" t="s">
        <v>3009</v>
      </c>
      <c r="O245" s="5" t="s">
        <v>3010</v>
      </c>
      <c r="P245" s="5" t="s">
        <v>3011</v>
      </c>
      <c r="Q245" s="5" t="s">
        <v>3012</v>
      </c>
      <c r="R245" s="5" t="s">
        <v>100</v>
      </c>
      <c r="S245" s="5" t="s">
        <v>14</v>
      </c>
      <c r="T245" s="5" t="s">
        <v>70</v>
      </c>
      <c r="U245" s="5" t="s">
        <v>3013</v>
      </c>
      <c r="V245" s="5" t="s">
        <v>72</v>
      </c>
      <c r="W245" s="5"/>
    </row>
    <row r="246" spans="1:23" ht="21" customHeight="1">
      <c r="A246" s="5" t="s">
        <v>3014</v>
      </c>
      <c r="B246" s="5" t="s">
        <v>30</v>
      </c>
      <c r="C246" s="5" t="s">
        <v>2966</v>
      </c>
      <c r="D246" s="5" t="s">
        <v>2980</v>
      </c>
      <c r="E246" s="5" t="s">
        <v>3015</v>
      </c>
      <c r="F246" s="5" t="s">
        <v>3016</v>
      </c>
      <c r="G246" s="5" t="s">
        <v>18</v>
      </c>
      <c r="H246" s="5" t="s">
        <v>77</v>
      </c>
      <c r="I246" s="5" t="s">
        <v>159</v>
      </c>
      <c r="J246" s="5" t="s">
        <v>3017</v>
      </c>
      <c r="K246" s="5" t="s">
        <v>3018</v>
      </c>
      <c r="L246" s="5" t="s">
        <v>3019</v>
      </c>
      <c r="M246" s="5" t="s">
        <v>3020</v>
      </c>
      <c r="N246" s="5" t="s">
        <v>3021</v>
      </c>
      <c r="O246" s="5" t="s">
        <v>3022</v>
      </c>
      <c r="P246" s="5" t="s">
        <v>3023</v>
      </c>
      <c r="Q246" s="5" t="s">
        <v>919</v>
      </c>
      <c r="R246" s="5" t="s">
        <v>809</v>
      </c>
      <c r="S246" s="5" t="s">
        <v>18</v>
      </c>
      <c r="T246" s="5" t="s">
        <v>70</v>
      </c>
      <c r="U246" s="5" t="s">
        <v>3024</v>
      </c>
      <c r="V246" s="5" t="s">
        <v>72</v>
      </c>
      <c r="W246" s="5"/>
    </row>
    <row r="247" spans="1:23" ht="21" customHeight="1">
      <c r="A247" s="5" t="s">
        <v>3025</v>
      </c>
      <c r="B247" s="5" t="s">
        <v>30</v>
      </c>
      <c r="C247" s="5" t="s">
        <v>2966</v>
      </c>
      <c r="D247" s="5" t="s">
        <v>2980</v>
      </c>
      <c r="E247" s="5" t="s">
        <v>3026</v>
      </c>
      <c r="F247" s="5" t="s">
        <v>3027</v>
      </c>
      <c r="G247" s="5" t="s">
        <v>18</v>
      </c>
      <c r="H247" s="5" t="s">
        <v>77</v>
      </c>
      <c r="I247" s="5" t="s">
        <v>159</v>
      </c>
      <c r="J247" s="5" t="s">
        <v>3028</v>
      </c>
      <c r="K247" s="5" t="s">
        <v>3029</v>
      </c>
      <c r="L247" s="5" t="s">
        <v>3030</v>
      </c>
      <c r="M247" s="5" t="s">
        <v>3031</v>
      </c>
      <c r="N247" s="5" t="s">
        <v>3032</v>
      </c>
      <c r="O247" s="5" t="s">
        <v>3033</v>
      </c>
      <c r="P247" s="5" t="s">
        <v>3034</v>
      </c>
      <c r="Q247" s="5" t="s">
        <v>3035</v>
      </c>
      <c r="R247" s="5" t="s">
        <v>205</v>
      </c>
      <c r="S247" s="5" t="s">
        <v>16</v>
      </c>
      <c r="T247" s="5" t="s">
        <v>992</v>
      </c>
      <c r="U247" s="5" t="s">
        <v>3036</v>
      </c>
      <c r="V247" s="5" t="s">
        <v>72</v>
      </c>
      <c r="W247" s="5"/>
    </row>
    <row r="248" spans="1:23" ht="21" customHeight="1">
      <c r="A248" s="5" t="s">
        <v>3037</v>
      </c>
      <c r="B248" s="5" t="s">
        <v>30</v>
      </c>
      <c r="C248" s="5" t="s">
        <v>2966</v>
      </c>
      <c r="D248" s="5" t="s">
        <v>2980</v>
      </c>
      <c r="E248" s="5" t="s">
        <v>3038</v>
      </c>
      <c r="F248" s="5" t="s">
        <v>3039</v>
      </c>
      <c r="G248" s="5" t="s">
        <v>20</v>
      </c>
      <c r="H248" s="5" t="s">
        <v>77</v>
      </c>
      <c r="I248" s="5" t="s">
        <v>60</v>
      </c>
      <c r="J248" s="5" t="s">
        <v>3040</v>
      </c>
      <c r="K248" s="5" t="s">
        <v>3041</v>
      </c>
      <c r="L248" s="5" t="s">
        <v>3042</v>
      </c>
      <c r="M248" s="5" t="s">
        <v>3043</v>
      </c>
      <c r="N248" s="5" t="s">
        <v>3044</v>
      </c>
      <c r="O248" s="5" t="s">
        <v>3045</v>
      </c>
      <c r="P248" s="5" t="s">
        <v>3046</v>
      </c>
      <c r="Q248" s="5" t="s">
        <v>3047</v>
      </c>
      <c r="R248" s="5" t="s">
        <v>1749</v>
      </c>
      <c r="S248" s="5" t="s">
        <v>16</v>
      </c>
      <c r="T248" s="5" t="s">
        <v>70</v>
      </c>
      <c r="U248" s="5" t="s">
        <v>3048</v>
      </c>
      <c r="V248" s="5" t="s">
        <v>72</v>
      </c>
      <c r="W248" s="5"/>
    </row>
    <row r="249" spans="1:23" ht="21" customHeight="1">
      <c r="A249" s="5" t="s">
        <v>3049</v>
      </c>
      <c r="B249" s="5" t="s">
        <v>30</v>
      </c>
      <c r="C249" s="5" t="s">
        <v>2966</v>
      </c>
      <c r="D249" s="5" t="s">
        <v>3050</v>
      </c>
      <c r="E249" s="5" t="s">
        <v>3051</v>
      </c>
      <c r="F249" s="5" t="s">
        <v>3052</v>
      </c>
      <c r="G249" s="5" t="s">
        <v>16</v>
      </c>
      <c r="H249" s="5" t="s">
        <v>77</v>
      </c>
      <c r="I249" s="5" t="s">
        <v>159</v>
      </c>
      <c r="J249" s="5" t="s">
        <v>3053</v>
      </c>
      <c r="K249" s="5" t="s">
        <v>3054</v>
      </c>
      <c r="L249" s="5" t="s">
        <v>3055</v>
      </c>
      <c r="M249" s="5" t="s">
        <v>3056</v>
      </c>
      <c r="N249" s="5" t="s">
        <v>3057</v>
      </c>
      <c r="O249" s="5" t="s">
        <v>3058</v>
      </c>
      <c r="P249" s="5" t="s">
        <v>2989</v>
      </c>
      <c r="Q249" s="5" t="s">
        <v>919</v>
      </c>
      <c r="R249" s="5" t="s">
        <v>809</v>
      </c>
      <c r="S249" s="5" t="s">
        <v>18</v>
      </c>
      <c r="T249" s="5" t="s">
        <v>70</v>
      </c>
      <c r="U249" s="5" t="s">
        <v>3059</v>
      </c>
      <c r="V249" s="5" t="s">
        <v>72</v>
      </c>
      <c r="W249" s="5"/>
    </row>
    <row r="250" spans="1:23" ht="21" customHeight="1">
      <c r="A250" s="5" t="s">
        <v>3060</v>
      </c>
      <c r="B250" s="5" t="s">
        <v>30</v>
      </c>
      <c r="C250" s="5" t="s">
        <v>2966</v>
      </c>
      <c r="D250" s="5" t="s">
        <v>3050</v>
      </c>
      <c r="E250" s="5" t="s">
        <v>3061</v>
      </c>
      <c r="F250" s="5" t="s">
        <v>3062</v>
      </c>
      <c r="G250" s="5" t="s">
        <v>18</v>
      </c>
      <c r="H250" s="5" t="s">
        <v>77</v>
      </c>
      <c r="I250" s="5" t="s">
        <v>159</v>
      </c>
      <c r="J250" s="5" t="s">
        <v>3063</v>
      </c>
      <c r="K250" s="5" t="s">
        <v>3064</v>
      </c>
      <c r="L250" s="5" t="s">
        <v>3065</v>
      </c>
      <c r="M250" s="5" t="s">
        <v>3066</v>
      </c>
      <c r="N250" s="5" t="s">
        <v>3067</v>
      </c>
      <c r="O250" s="5" t="s">
        <v>3068</v>
      </c>
      <c r="P250" s="5" t="s">
        <v>3069</v>
      </c>
      <c r="Q250" s="5" t="s">
        <v>919</v>
      </c>
      <c r="R250" s="5" t="s">
        <v>205</v>
      </c>
      <c r="S250" s="5" t="s">
        <v>16</v>
      </c>
      <c r="T250" s="5" t="s">
        <v>70</v>
      </c>
      <c r="U250" s="5" t="s">
        <v>3070</v>
      </c>
      <c r="V250" s="5" t="s">
        <v>72</v>
      </c>
      <c r="W250" s="5"/>
    </row>
    <row r="251" spans="1:23" ht="21" customHeight="1">
      <c r="A251" s="5" t="s">
        <v>3071</v>
      </c>
      <c r="B251" s="5" t="s">
        <v>30</v>
      </c>
      <c r="C251" s="5" t="s">
        <v>2966</v>
      </c>
      <c r="D251" s="5" t="s">
        <v>3050</v>
      </c>
      <c r="E251" s="5" t="s">
        <v>3072</v>
      </c>
      <c r="F251" s="5" t="s">
        <v>3073</v>
      </c>
      <c r="G251" s="5" t="s">
        <v>20</v>
      </c>
      <c r="H251" s="5" t="s">
        <v>77</v>
      </c>
      <c r="I251" s="5" t="s">
        <v>159</v>
      </c>
      <c r="J251" s="5" t="s">
        <v>3074</v>
      </c>
      <c r="K251" s="5" t="s">
        <v>3075</v>
      </c>
      <c r="L251" s="5" t="s">
        <v>3076</v>
      </c>
      <c r="M251" s="5" t="s">
        <v>3077</v>
      </c>
      <c r="N251" s="5" t="s">
        <v>3078</v>
      </c>
      <c r="O251" s="5" t="s">
        <v>3079</v>
      </c>
      <c r="P251" s="5" t="s">
        <v>3000</v>
      </c>
      <c r="Q251" s="5" t="s">
        <v>919</v>
      </c>
      <c r="R251" s="5" t="s">
        <v>3080</v>
      </c>
      <c r="S251" s="5" t="s">
        <v>18</v>
      </c>
      <c r="T251" s="5" t="s">
        <v>70</v>
      </c>
      <c r="U251" s="5" t="s">
        <v>3081</v>
      </c>
      <c r="V251" s="5" t="s">
        <v>72</v>
      </c>
      <c r="W251" s="5"/>
    </row>
    <row r="252" spans="1:23" ht="21" customHeight="1">
      <c r="A252" s="5" t="s">
        <v>3082</v>
      </c>
      <c r="B252" s="5" t="s">
        <v>30</v>
      </c>
      <c r="C252" s="5" t="s">
        <v>2966</v>
      </c>
      <c r="D252" s="5" t="s">
        <v>3083</v>
      </c>
      <c r="E252" s="5" t="s">
        <v>3084</v>
      </c>
      <c r="F252" s="5" t="s">
        <v>3085</v>
      </c>
      <c r="G252" s="5" t="s">
        <v>16</v>
      </c>
      <c r="H252" s="5" t="s">
        <v>77</v>
      </c>
      <c r="I252" s="5" t="s">
        <v>105</v>
      </c>
      <c r="J252" s="5" t="s">
        <v>3086</v>
      </c>
      <c r="K252" s="5" t="s">
        <v>3087</v>
      </c>
      <c r="L252" s="5" t="s">
        <v>3088</v>
      </c>
      <c r="M252" s="5" t="s">
        <v>3089</v>
      </c>
      <c r="N252" s="5" t="s">
        <v>3090</v>
      </c>
      <c r="O252" s="5" t="s">
        <v>3091</v>
      </c>
      <c r="P252" s="5" t="s">
        <v>3092</v>
      </c>
      <c r="Q252" s="5" t="s">
        <v>3093</v>
      </c>
      <c r="R252" s="5" t="s">
        <v>87</v>
      </c>
      <c r="S252" s="5" t="s">
        <v>14</v>
      </c>
      <c r="T252" s="5" t="s">
        <v>70</v>
      </c>
      <c r="U252" s="5" t="s">
        <v>3094</v>
      </c>
      <c r="V252" s="5" t="s">
        <v>72</v>
      </c>
      <c r="W252" s="5"/>
    </row>
    <row r="253" spans="1:23" ht="21" customHeight="1">
      <c r="A253" s="5" t="s">
        <v>3095</v>
      </c>
      <c r="B253" s="5" t="s">
        <v>30</v>
      </c>
      <c r="C253" s="5" t="s">
        <v>2966</v>
      </c>
      <c r="D253" s="5" t="s">
        <v>3083</v>
      </c>
      <c r="E253" s="5" t="s">
        <v>3096</v>
      </c>
      <c r="F253" s="5" t="s">
        <v>3097</v>
      </c>
      <c r="G253" s="5" t="s">
        <v>16</v>
      </c>
      <c r="H253" s="5" t="s">
        <v>77</v>
      </c>
      <c r="I253" s="5" t="s">
        <v>145</v>
      </c>
      <c r="J253" s="5" t="s">
        <v>3098</v>
      </c>
      <c r="K253" s="5" t="s">
        <v>3099</v>
      </c>
      <c r="L253" s="5" t="s">
        <v>3100</v>
      </c>
      <c r="M253" s="5" t="s">
        <v>3101</v>
      </c>
      <c r="N253" s="5" t="s">
        <v>3102</v>
      </c>
      <c r="O253" s="5" t="s">
        <v>3103</v>
      </c>
      <c r="P253" s="5" t="s">
        <v>3104</v>
      </c>
      <c r="Q253" s="5" t="s">
        <v>3105</v>
      </c>
      <c r="R253" s="5" t="s">
        <v>100</v>
      </c>
      <c r="S253" s="5" t="s">
        <v>14</v>
      </c>
      <c r="T253" s="5" t="s">
        <v>70</v>
      </c>
      <c r="U253" s="5" t="s">
        <v>3106</v>
      </c>
      <c r="V253" s="5" t="s">
        <v>72</v>
      </c>
      <c r="W253" s="5"/>
    </row>
    <row r="254" spans="1:23" ht="21" customHeight="1">
      <c r="A254" s="5" t="s">
        <v>3107</v>
      </c>
      <c r="B254" s="5" t="s">
        <v>30</v>
      </c>
      <c r="C254" s="5" t="s">
        <v>2966</v>
      </c>
      <c r="D254" s="5" t="s">
        <v>332</v>
      </c>
      <c r="E254" s="5" t="s">
        <v>3108</v>
      </c>
      <c r="F254" s="5" t="s">
        <v>3109</v>
      </c>
      <c r="G254" s="5" t="s">
        <v>20</v>
      </c>
      <c r="H254" s="5" t="s">
        <v>2790</v>
      </c>
      <c r="I254" s="5" t="s">
        <v>336</v>
      </c>
      <c r="J254" s="5" t="s">
        <v>3110</v>
      </c>
      <c r="K254" s="5" t="s">
        <v>3111</v>
      </c>
      <c r="L254" s="5" t="s">
        <v>1565</v>
      </c>
      <c r="M254" s="5" t="s">
        <v>3112</v>
      </c>
      <c r="N254" s="5" t="s">
        <v>3113</v>
      </c>
      <c r="O254" s="5" t="s">
        <v>3114</v>
      </c>
      <c r="P254" s="5" t="s">
        <v>3115</v>
      </c>
      <c r="Q254" s="5" t="s">
        <v>1259</v>
      </c>
      <c r="R254" s="5" t="s">
        <v>345</v>
      </c>
      <c r="S254" s="5" t="s">
        <v>22</v>
      </c>
      <c r="T254" s="5" t="s">
        <v>346</v>
      </c>
      <c r="U254" s="5" t="s">
        <v>3116</v>
      </c>
      <c r="V254" s="5" t="s">
        <v>72</v>
      </c>
      <c r="W254" s="5"/>
    </row>
    <row r="255" spans="1:23" ht="21" customHeight="1">
      <c r="A255" s="5" t="s">
        <v>3117</v>
      </c>
      <c r="B255" s="5" t="s">
        <v>30</v>
      </c>
      <c r="C255" s="5" t="s">
        <v>2966</v>
      </c>
      <c r="D255" s="5" t="s">
        <v>3118</v>
      </c>
      <c r="E255" s="5" t="s">
        <v>3119</v>
      </c>
      <c r="F255" s="5" t="s">
        <v>3120</v>
      </c>
      <c r="G255" s="5" t="s">
        <v>16</v>
      </c>
      <c r="H255" s="5" t="s">
        <v>77</v>
      </c>
      <c r="I255" s="5" t="s">
        <v>159</v>
      </c>
      <c r="J255" s="5" t="s">
        <v>3121</v>
      </c>
      <c r="K255" s="5" t="s">
        <v>3122</v>
      </c>
      <c r="L255" s="5" t="s">
        <v>3123</v>
      </c>
      <c r="M255" s="5" t="s">
        <v>3124</v>
      </c>
      <c r="N255" s="5" t="s">
        <v>3125</v>
      </c>
      <c r="O255" s="5" t="s">
        <v>3126</v>
      </c>
      <c r="P255" s="5" t="s">
        <v>3127</v>
      </c>
      <c r="Q255" s="5" t="s">
        <v>2571</v>
      </c>
      <c r="R255" s="5" t="s">
        <v>100</v>
      </c>
      <c r="S255" s="5" t="s">
        <v>14</v>
      </c>
      <c r="T255" s="5" t="s">
        <v>70</v>
      </c>
      <c r="U255" s="5" t="s">
        <v>3128</v>
      </c>
      <c r="V255" s="5" t="s">
        <v>72</v>
      </c>
      <c r="W255" s="5"/>
    </row>
    <row r="256" spans="1:23" ht="21" customHeight="1">
      <c r="A256" s="5" t="s">
        <v>3129</v>
      </c>
      <c r="B256" s="5" t="s">
        <v>30</v>
      </c>
      <c r="C256" s="5" t="s">
        <v>2966</v>
      </c>
      <c r="D256" s="5" t="s">
        <v>3118</v>
      </c>
      <c r="E256" s="5" t="s">
        <v>3130</v>
      </c>
      <c r="F256" s="5" t="s">
        <v>3131</v>
      </c>
      <c r="G256" s="5" t="s">
        <v>16</v>
      </c>
      <c r="H256" s="5" t="s">
        <v>77</v>
      </c>
      <c r="I256" s="5" t="s">
        <v>159</v>
      </c>
      <c r="J256" s="5" t="s">
        <v>3132</v>
      </c>
      <c r="K256" s="5" t="s">
        <v>3133</v>
      </c>
      <c r="L256" s="5" t="s">
        <v>3134</v>
      </c>
      <c r="M256" s="5" t="s">
        <v>3135</v>
      </c>
      <c r="N256" s="5" t="s">
        <v>3136</v>
      </c>
      <c r="O256" s="5" t="s">
        <v>3137</v>
      </c>
      <c r="P256" s="5" t="s">
        <v>3138</v>
      </c>
      <c r="Q256" s="5" t="s">
        <v>919</v>
      </c>
      <c r="R256" s="5" t="s">
        <v>407</v>
      </c>
      <c r="S256" s="5" t="s">
        <v>14</v>
      </c>
      <c r="T256" s="5" t="s">
        <v>70</v>
      </c>
      <c r="U256" s="5" t="s">
        <v>3139</v>
      </c>
      <c r="V256" s="5" t="s">
        <v>72</v>
      </c>
      <c r="W256" s="5"/>
    </row>
    <row r="257" spans="1:23" ht="21" customHeight="1">
      <c r="A257" s="5" t="s">
        <v>3140</v>
      </c>
      <c r="B257" s="5" t="s">
        <v>30</v>
      </c>
      <c r="C257" s="5" t="s">
        <v>2966</v>
      </c>
      <c r="D257" s="5" t="s">
        <v>3118</v>
      </c>
      <c r="E257" s="5" t="s">
        <v>3141</v>
      </c>
      <c r="F257" s="5" t="s">
        <v>3142</v>
      </c>
      <c r="G257" s="5" t="s">
        <v>16</v>
      </c>
      <c r="H257" s="5" t="s">
        <v>77</v>
      </c>
      <c r="I257" s="5" t="s">
        <v>159</v>
      </c>
      <c r="J257" s="5" t="s">
        <v>3143</v>
      </c>
      <c r="K257" s="5" t="s">
        <v>3144</v>
      </c>
      <c r="L257" s="5" t="s">
        <v>3145</v>
      </c>
      <c r="M257" s="5" t="s">
        <v>3146</v>
      </c>
      <c r="N257" s="5" t="s">
        <v>3147</v>
      </c>
      <c r="O257" s="5" t="s">
        <v>3148</v>
      </c>
      <c r="P257" s="5" t="s">
        <v>3149</v>
      </c>
      <c r="Q257" s="5" t="s">
        <v>919</v>
      </c>
      <c r="R257" s="5" t="s">
        <v>407</v>
      </c>
      <c r="S257" s="5" t="s">
        <v>14</v>
      </c>
      <c r="T257" s="5" t="s">
        <v>70</v>
      </c>
      <c r="U257" s="5" t="s">
        <v>3150</v>
      </c>
      <c r="V257" s="5" t="s">
        <v>72</v>
      </c>
      <c r="W257" s="5"/>
    </row>
    <row r="258" spans="1:23" ht="21" customHeight="1">
      <c r="A258" s="5" t="s">
        <v>3151</v>
      </c>
      <c r="B258" s="5" t="s">
        <v>30</v>
      </c>
      <c r="C258" s="5" t="s">
        <v>2966</v>
      </c>
      <c r="D258" s="5" t="s">
        <v>3118</v>
      </c>
      <c r="E258" s="5" t="s">
        <v>3152</v>
      </c>
      <c r="F258" s="5" t="s">
        <v>3153</v>
      </c>
      <c r="G258" s="5" t="s">
        <v>18</v>
      </c>
      <c r="H258" s="5" t="s">
        <v>77</v>
      </c>
      <c r="I258" s="5" t="s">
        <v>527</v>
      </c>
      <c r="J258" s="5" t="s">
        <v>3154</v>
      </c>
      <c r="K258" s="5" t="s">
        <v>3155</v>
      </c>
      <c r="L258" s="5" t="s">
        <v>3156</v>
      </c>
      <c r="M258" s="5" t="s">
        <v>3157</v>
      </c>
      <c r="N258" s="5" t="s">
        <v>3158</v>
      </c>
      <c r="O258" s="5" t="s">
        <v>3159</v>
      </c>
      <c r="P258" s="5" t="s">
        <v>3160</v>
      </c>
      <c r="Q258" s="5" t="s">
        <v>919</v>
      </c>
      <c r="R258" s="5" t="s">
        <v>1617</v>
      </c>
      <c r="S258" s="5" t="s">
        <v>18</v>
      </c>
      <c r="T258" s="5" t="s">
        <v>1379</v>
      </c>
      <c r="U258" s="5" t="s">
        <v>3161</v>
      </c>
      <c r="V258" s="5" t="s">
        <v>72</v>
      </c>
      <c r="W258" s="5"/>
    </row>
    <row r="259" spans="1:23" ht="21" customHeight="1">
      <c r="A259" s="5" t="s">
        <v>3162</v>
      </c>
      <c r="B259" s="5" t="s">
        <v>30</v>
      </c>
      <c r="C259" s="5" t="s">
        <v>2966</v>
      </c>
      <c r="D259" s="5" t="s">
        <v>3163</v>
      </c>
      <c r="E259" s="5" t="s">
        <v>3164</v>
      </c>
      <c r="F259" s="5" t="s">
        <v>3165</v>
      </c>
      <c r="G259" s="5" t="s">
        <v>20</v>
      </c>
      <c r="H259" s="5" t="s">
        <v>77</v>
      </c>
      <c r="I259" s="5" t="s">
        <v>60</v>
      </c>
      <c r="J259" s="5" t="s">
        <v>3166</v>
      </c>
      <c r="K259" s="5" t="s">
        <v>3167</v>
      </c>
      <c r="L259" s="5" t="s">
        <v>3168</v>
      </c>
      <c r="M259" s="5" t="s">
        <v>3169</v>
      </c>
      <c r="N259" s="5" t="s">
        <v>3170</v>
      </c>
      <c r="O259" s="5" t="s">
        <v>3171</v>
      </c>
      <c r="P259" s="5" t="s">
        <v>3172</v>
      </c>
      <c r="Q259" s="5" t="s">
        <v>1974</v>
      </c>
      <c r="R259" s="5" t="s">
        <v>3173</v>
      </c>
      <c r="S259" s="5" t="s">
        <v>16</v>
      </c>
      <c r="T259" s="5" t="s">
        <v>70</v>
      </c>
      <c r="U259" s="5" t="s">
        <v>3174</v>
      </c>
      <c r="V259" s="5" t="s">
        <v>72</v>
      </c>
      <c r="W259" s="5"/>
    </row>
    <row r="260" spans="1:23" ht="21" customHeight="1">
      <c r="A260" s="5" t="s">
        <v>3175</v>
      </c>
      <c r="B260" s="5" t="s">
        <v>30</v>
      </c>
      <c r="C260" s="5" t="s">
        <v>2966</v>
      </c>
      <c r="D260" s="5" t="s">
        <v>3176</v>
      </c>
      <c r="E260" s="5" t="s">
        <v>3177</v>
      </c>
      <c r="F260" s="5" t="s">
        <v>3178</v>
      </c>
      <c r="G260" s="5" t="s">
        <v>16</v>
      </c>
      <c r="H260" s="5" t="s">
        <v>77</v>
      </c>
      <c r="I260" s="5" t="s">
        <v>145</v>
      </c>
      <c r="J260" s="5" t="s">
        <v>3179</v>
      </c>
      <c r="K260" s="5" t="s">
        <v>3180</v>
      </c>
      <c r="L260" s="5" t="s">
        <v>3181</v>
      </c>
      <c r="M260" s="5" t="s">
        <v>3182</v>
      </c>
      <c r="N260" s="5" t="s">
        <v>3183</v>
      </c>
      <c r="O260" s="5" t="s">
        <v>3184</v>
      </c>
      <c r="P260" s="5" t="s">
        <v>3185</v>
      </c>
      <c r="Q260" s="5" t="s">
        <v>3186</v>
      </c>
      <c r="R260" s="5" t="s">
        <v>205</v>
      </c>
      <c r="S260" s="5" t="s">
        <v>16</v>
      </c>
      <c r="T260" s="5" t="s">
        <v>70</v>
      </c>
      <c r="U260" s="5" t="s">
        <v>3187</v>
      </c>
      <c r="V260" s="5" t="s">
        <v>72</v>
      </c>
      <c r="W260" s="5"/>
    </row>
    <row r="261" spans="1:23" ht="21" customHeight="1">
      <c r="A261" s="5" t="s">
        <v>3188</v>
      </c>
      <c r="B261" s="5" t="s">
        <v>30</v>
      </c>
      <c r="C261" s="5" t="s">
        <v>2966</v>
      </c>
      <c r="D261" s="5" t="s">
        <v>3176</v>
      </c>
      <c r="E261" s="5" t="s">
        <v>3189</v>
      </c>
      <c r="F261" s="5" t="s">
        <v>3190</v>
      </c>
      <c r="G261" s="5" t="s">
        <v>16</v>
      </c>
      <c r="H261" s="5" t="s">
        <v>77</v>
      </c>
      <c r="I261" s="5" t="s">
        <v>145</v>
      </c>
      <c r="J261" s="5" t="s">
        <v>3191</v>
      </c>
      <c r="K261" s="5" t="s">
        <v>3192</v>
      </c>
      <c r="L261" s="5" t="s">
        <v>3193</v>
      </c>
      <c r="M261" s="5" t="s">
        <v>3194</v>
      </c>
      <c r="N261" s="5" t="s">
        <v>3195</v>
      </c>
      <c r="O261" s="5" t="s">
        <v>3196</v>
      </c>
      <c r="P261" s="5" t="s">
        <v>3197</v>
      </c>
      <c r="Q261" s="5" t="s">
        <v>3198</v>
      </c>
      <c r="R261" s="5" t="s">
        <v>407</v>
      </c>
      <c r="S261" s="5" t="s">
        <v>14</v>
      </c>
      <c r="T261" s="5" t="s">
        <v>70</v>
      </c>
      <c r="U261" s="5" t="s">
        <v>3199</v>
      </c>
      <c r="V261" s="5" t="s">
        <v>72</v>
      </c>
      <c r="W261" s="5"/>
    </row>
    <row r="262" spans="1:23" ht="21" customHeight="1">
      <c r="A262" s="5" t="s">
        <v>3200</v>
      </c>
      <c r="B262" s="5" t="s">
        <v>30</v>
      </c>
      <c r="C262" s="5" t="s">
        <v>2966</v>
      </c>
      <c r="D262" s="5" t="s">
        <v>3201</v>
      </c>
      <c r="E262" s="5" t="s">
        <v>3202</v>
      </c>
      <c r="F262" s="5" t="s">
        <v>3203</v>
      </c>
      <c r="G262" s="5" t="s">
        <v>20</v>
      </c>
      <c r="H262" s="5" t="s">
        <v>59</v>
      </c>
      <c r="I262" s="5" t="s">
        <v>437</v>
      </c>
      <c r="J262" s="5" t="s">
        <v>3204</v>
      </c>
      <c r="K262" s="5" t="s">
        <v>3205</v>
      </c>
      <c r="L262" s="5" t="s">
        <v>3206</v>
      </c>
      <c r="M262" s="5" t="s">
        <v>3207</v>
      </c>
      <c r="N262" s="5" t="s">
        <v>3208</v>
      </c>
      <c r="O262" s="5" t="s">
        <v>3209</v>
      </c>
      <c r="P262" s="5" t="s">
        <v>3210</v>
      </c>
      <c r="Q262" s="5" t="s">
        <v>3211</v>
      </c>
      <c r="R262" s="5" t="s">
        <v>1283</v>
      </c>
      <c r="S262" s="5" t="s">
        <v>14</v>
      </c>
      <c r="T262" s="5" t="s">
        <v>992</v>
      </c>
      <c r="U262" s="5" t="s">
        <v>3212</v>
      </c>
      <c r="V262" s="5" t="s">
        <v>72</v>
      </c>
      <c r="W262" s="5"/>
    </row>
    <row r="263" spans="1:23" ht="21" customHeight="1">
      <c r="A263" s="5" t="s">
        <v>3213</v>
      </c>
      <c r="B263" s="5" t="s">
        <v>30</v>
      </c>
      <c r="C263" s="5" t="s">
        <v>2966</v>
      </c>
      <c r="D263" s="5" t="s">
        <v>3214</v>
      </c>
      <c r="E263" s="5" t="s">
        <v>3215</v>
      </c>
      <c r="F263" s="5" t="s">
        <v>3216</v>
      </c>
      <c r="G263" s="5" t="s">
        <v>18</v>
      </c>
      <c r="H263" s="5" t="s">
        <v>77</v>
      </c>
      <c r="I263" s="5" t="s">
        <v>159</v>
      </c>
      <c r="J263" s="5" t="s">
        <v>3217</v>
      </c>
      <c r="K263" s="5" t="s">
        <v>3218</v>
      </c>
      <c r="L263" s="5" t="s">
        <v>3219</v>
      </c>
      <c r="M263" s="5" t="s">
        <v>3220</v>
      </c>
      <c r="N263" s="5" t="s">
        <v>3221</v>
      </c>
      <c r="O263" s="5" t="s">
        <v>3222</v>
      </c>
      <c r="P263" s="5" t="s">
        <v>3223</v>
      </c>
      <c r="Q263" s="5" t="s">
        <v>3224</v>
      </c>
      <c r="R263" s="5" t="s">
        <v>100</v>
      </c>
      <c r="S263" s="5" t="s">
        <v>14</v>
      </c>
      <c r="T263" s="5" t="s">
        <v>70</v>
      </c>
      <c r="U263" s="5" t="s">
        <v>3225</v>
      </c>
      <c r="V263" s="5" t="s">
        <v>72</v>
      </c>
      <c r="W263" s="5"/>
    </row>
    <row r="264" spans="1:23" ht="21" customHeight="1">
      <c r="A264" s="5" t="s">
        <v>3226</v>
      </c>
      <c r="B264" s="5" t="s">
        <v>30</v>
      </c>
      <c r="C264" s="5" t="s">
        <v>2966</v>
      </c>
      <c r="D264" s="5" t="s">
        <v>3214</v>
      </c>
      <c r="E264" s="5" t="s">
        <v>3227</v>
      </c>
      <c r="F264" s="5" t="s">
        <v>3228</v>
      </c>
      <c r="G264" s="5" t="s">
        <v>18</v>
      </c>
      <c r="H264" s="5" t="s">
        <v>77</v>
      </c>
      <c r="I264" s="5" t="s">
        <v>159</v>
      </c>
      <c r="J264" s="5" t="s">
        <v>3229</v>
      </c>
      <c r="K264" s="5" t="s">
        <v>3230</v>
      </c>
      <c r="L264" s="5" t="s">
        <v>3231</v>
      </c>
      <c r="M264" s="5" t="s">
        <v>3232</v>
      </c>
      <c r="N264" s="5" t="s">
        <v>3233</v>
      </c>
      <c r="O264" s="5" t="s">
        <v>3234</v>
      </c>
      <c r="P264" s="5" t="s">
        <v>3235</v>
      </c>
      <c r="Q264" s="5" t="s">
        <v>919</v>
      </c>
      <c r="R264" s="5" t="s">
        <v>205</v>
      </c>
      <c r="S264" s="5" t="s">
        <v>16</v>
      </c>
      <c r="T264" s="5" t="s">
        <v>70</v>
      </c>
      <c r="U264" s="5" t="s">
        <v>3236</v>
      </c>
      <c r="V264" s="5" t="s">
        <v>72</v>
      </c>
      <c r="W264" s="5"/>
    </row>
    <row r="265" spans="1:23" ht="21" customHeight="1">
      <c r="A265" s="5" t="s">
        <v>3237</v>
      </c>
      <c r="B265" s="5" t="s">
        <v>30</v>
      </c>
      <c r="C265" s="5" t="s">
        <v>2966</v>
      </c>
      <c r="D265" s="5" t="s">
        <v>3214</v>
      </c>
      <c r="E265" s="5" t="s">
        <v>3238</v>
      </c>
      <c r="F265" s="5" t="s">
        <v>3239</v>
      </c>
      <c r="G265" s="5" t="s">
        <v>18</v>
      </c>
      <c r="H265" s="5" t="s">
        <v>77</v>
      </c>
      <c r="I265" s="5" t="s">
        <v>159</v>
      </c>
      <c r="J265" s="5" t="s">
        <v>3240</v>
      </c>
      <c r="K265" s="5" t="s">
        <v>3241</v>
      </c>
      <c r="L265" s="5" t="s">
        <v>3242</v>
      </c>
      <c r="M265" s="5" t="s">
        <v>3243</v>
      </c>
      <c r="N265" s="5" t="s">
        <v>3244</v>
      </c>
      <c r="O265" s="5" t="s">
        <v>3245</v>
      </c>
      <c r="P265" s="5" t="s">
        <v>3246</v>
      </c>
      <c r="Q265" s="5" t="s">
        <v>919</v>
      </c>
      <c r="R265" s="5" t="s">
        <v>2201</v>
      </c>
      <c r="S265" s="5" t="s">
        <v>16</v>
      </c>
      <c r="T265" s="5" t="s">
        <v>70</v>
      </c>
      <c r="U265" s="5" t="s">
        <v>3247</v>
      </c>
      <c r="V265" s="5" t="s">
        <v>72</v>
      </c>
      <c r="W265" s="5"/>
    </row>
  </sheetData>
  <mergeCells count="2">
    <mergeCell ref="A1:W1"/>
    <mergeCell ref="A2:W2"/>
  </mergeCells>
  <phoneticPr fontId="11" type="noConversion"/>
  <conditionalFormatting sqref="S4:S265">
    <cfRule type="expression" dxfId="10" priority="3">
      <formula>S4="S"</formula>
    </cfRule>
    <cfRule type="expression" dxfId="9" priority="4">
      <formula>S4="A"</formula>
    </cfRule>
  </conditionalFormatting>
  <conditionalFormatting sqref="V4:V265">
    <cfRule type="expression" dxfId="8" priority="1">
      <formula>V4="已掌握"</formula>
    </cfRule>
    <cfRule type="expression" dxfId="7" priority="2">
      <formula>V4="需复盘"</formula>
    </cfRule>
  </conditionalFormatting>
  <dataValidations count="1">
    <dataValidation type="list" sqref="V4:V265" xr:uid="{00000000-0002-0000-0100-000000000000}">
      <formula1>"未开始,学习中,已掌握,需复盘"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workbookViewId="0"/>
  </sheetViews>
  <sheetFormatPr defaultRowHeight="13.5"/>
  <cols>
    <col min="1" max="1" width="9" customWidth="1"/>
    <col min="2" max="2" width="25" customWidth="1"/>
    <col min="3" max="3" width="38" customWidth="1"/>
    <col min="4" max="4" width="34" customWidth="1"/>
    <col min="5" max="5" width="48" customWidth="1"/>
    <col min="6" max="6" width="32" customWidth="1"/>
    <col min="7" max="8" width="38" customWidth="1"/>
    <col min="9" max="9" width="34" customWidth="1"/>
    <col min="10" max="10" width="28" customWidth="1"/>
    <col min="11" max="11" width="20" customWidth="1"/>
    <col min="12" max="12" width="11" customWidth="1"/>
    <col min="13" max="13" width="16" customWidth="1"/>
    <col min="14" max="14" width="12" customWidth="1"/>
    <col min="15" max="15" width="32" customWidth="1"/>
  </cols>
  <sheetData>
    <row r="1" spans="1:15" ht="15" customHeight="1">
      <c r="A1" s="7" t="s">
        <v>3248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1.55" customHeight="1">
      <c r="A2" s="8" t="s">
        <v>3249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8" customHeight="1">
      <c r="A3" s="1" t="s">
        <v>33</v>
      </c>
      <c r="B3" s="1" t="s">
        <v>3250</v>
      </c>
      <c r="C3" s="1" t="s">
        <v>3251</v>
      </c>
      <c r="D3" s="1" t="s">
        <v>45</v>
      </c>
      <c r="E3" s="1" t="s">
        <v>3252</v>
      </c>
      <c r="F3" s="1" t="s">
        <v>3253</v>
      </c>
      <c r="G3" s="1" t="s">
        <v>3254</v>
      </c>
      <c r="H3" s="1" t="s">
        <v>3255</v>
      </c>
      <c r="I3" s="1" t="s">
        <v>3256</v>
      </c>
      <c r="J3" s="1" t="s">
        <v>3257</v>
      </c>
      <c r="K3" s="1" t="s">
        <v>3258</v>
      </c>
      <c r="L3" s="1" t="s">
        <v>3259</v>
      </c>
      <c r="M3" s="1" t="s">
        <v>3260</v>
      </c>
      <c r="N3" s="1" t="s">
        <v>3261</v>
      </c>
      <c r="O3" s="1" t="s">
        <v>53</v>
      </c>
    </row>
    <row r="4" spans="1:15" ht="21" customHeight="1">
      <c r="A4" s="5" t="s">
        <v>3262</v>
      </c>
      <c r="B4" s="5" t="s">
        <v>3263</v>
      </c>
      <c r="C4" s="5" t="s">
        <v>3264</v>
      </c>
      <c r="D4" s="5" t="s">
        <v>3265</v>
      </c>
      <c r="E4" s="5" t="s">
        <v>3266</v>
      </c>
      <c r="F4" s="5" t="s">
        <v>3267</v>
      </c>
      <c r="G4" s="5" t="s">
        <v>3268</v>
      </c>
      <c r="H4" s="5" t="s">
        <v>3269</v>
      </c>
      <c r="I4" s="5" t="s">
        <v>3270</v>
      </c>
      <c r="J4" s="5" t="s">
        <v>3271</v>
      </c>
      <c r="K4" s="5" t="s">
        <v>3272</v>
      </c>
      <c r="L4" s="5" t="s">
        <v>3273</v>
      </c>
      <c r="M4" s="5" t="s">
        <v>3274</v>
      </c>
      <c r="N4" s="5" t="s">
        <v>72</v>
      </c>
      <c r="O4" s="5"/>
    </row>
    <row r="5" spans="1:15" ht="21" customHeight="1">
      <c r="A5" s="5" t="s">
        <v>3275</v>
      </c>
      <c r="B5" s="5" t="s">
        <v>3276</v>
      </c>
      <c r="C5" s="5" t="s">
        <v>3277</v>
      </c>
      <c r="D5" s="5" t="s">
        <v>3278</v>
      </c>
      <c r="E5" s="5" t="s">
        <v>3279</v>
      </c>
      <c r="F5" s="5" t="s">
        <v>3280</v>
      </c>
      <c r="G5" s="5" t="s">
        <v>3281</v>
      </c>
      <c r="H5" s="5" t="s">
        <v>3282</v>
      </c>
      <c r="I5" s="5" t="s">
        <v>3283</v>
      </c>
      <c r="J5" s="5" t="s">
        <v>3284</v>
      </c>
      <c r="K5" s="5" t="s">
        <v>3285</v>
      </c>
      <c r="L5" s="5" t="s">
        <v>3286</v>
      </c>
      <c r="M5" s="5" t="s">
        <v>3287</v>
      </c>
      <c r="N5" s="5" t="s">
        <v>72</v>
      </c>
      <c r="O5" s="5"/>
    </row>
    <row r="6" spans="1:15" ht="21" customHeight="1">
      <c r="A6" s="5" t="s">
        <v>3288</v>
      </c>
      <c r="B6" s="5" t="s">
        <v>3289</v>
      </c>
      <c r="C6" s="5" t="s">
        <v>3290</v>
      </c>
      <c r="D6" s="5" t="s">
        <v>3291</v>
      </c>
      <c r="E6" s="5" t="s">
        <v>3292</v>
      </c>
      <c r="F6" s="5" t="s">
        <v>3293</v>
      </c>
      <c r="G6" s="5" t="s">
        <v>3294</v>
      </c>
      <c r="H6" s="5" t="s">
        <v>3295</v>
      </c>
      <c r="I6" s="5" t="s">
        <v>3296</v>
      </c>
      <c r="J6" s="5" t="s">
        <v>3297</v>
      </c>
      <c r="K6" s="5" t="s">
        <v>3298</v>
      </c>
      <c r="L6" s="5" t="s">
        <v>3286</v>
      </c>
      <c r="M6" s="5" t="s">
        <v>3299</v>
      </c>
      <c r="N6" s="5" t="s">
        <v>72</v>
      </c>
      <c r="O6" s="5"/>
    </row>
    <row r="7" spans="1:15" ht="21" customHeight="1">
      <c r="A7" s="5" t="s">
        <v>3300</v>
      </c>
      <c r="B7" s="5" t="s">
        <v>3301</v>
      </c>
      <c r="C7" s="5" t="s">
        <v>3302</v>
      </c>
      <c r="D7" s="5" t="s">
        <v>3303</v>
      </c>
      <c r="E7" s="5" t="s">
        <v>3304</v>
      </c>
      <c r="F7" s="5" t="s">
        <v>3305</v>
      </c>
      <c r="G7" s="5" t="s">
        <v>3306</v>
      </c>
      <c r="H7" s="5" t="s">
        <v>3307</v>
      </c>
      <c r="I7" s="5" t="s">
        <v>3308</v>
      </c>
      <c r="J7" s="5" t="s">
        <v>3309</v>
      </c>
      <c r="K7" s="5" t="s">
        <v>547</v>
      </c>
      <c r="L7" s="5" t="s">
        <v>3286</v>
      </c>
      <c r="M7" s="5" t="s">
        <v>3310</v>
      </c>
      <c r="N7" s="5" t="s">
        <v>72</v>
      </c>
      <c r="O7" s="5"/>
    </row>
    <row r="8" spans="1:15" ht="21" customHeight="1">
      <c r="A8" s="5" t="s">
        <v>3311</v>
      </c>
      <c r="B8" s="5" t="s">
        <v>435</v>
      </c>
      <c r="C8" s="5" t="s">
        <v>3312</v>
      </c>
      <c r="D8" s="5" t="s">
        <v>3313</v>
      </c>
      <c r="E8" s="5" t="s">
        <v>3314</v>
      </c>
      <c r="F8" s="5" t="s">
        <v>3315</v>
      </c>
      <c r="G8" s="5" t="s">
        <v>3316</v>
      </c>
      <c r="H8" s="5" t="s">
        <v>3317</v>
      </c>
      <c r="I8" s="5" t="s">
        <v>3318</v>
      </c>
      <c r="J8" s="5" t="s">
        <v>3319</v>
      </c>
      <c r="K8" s="5" t="s">
        <v>3320</v>
      </c>
      <c r="L8" s="5" t="s">
        <v>3321</v>
      </c>
      <c r="M8" s="5" t="s">
        <v>3322</v>
      </c>
      <c r="N8" s="5" t="s">
        <v>72</v>
      </c>
      <c r="O8" s="5"/>
    </row>
    <row r="9" spans="1:15" ht="21" customHeight="1">
      <c r="A9" s="5" t="s">
        <v>3323</v>
      </c>
      <c r="B9" s="5" t="s">
        <v>3324</v>
      </c>
      <c r="C9" s="5" t="s">
        <v>3325</v>
      </c>
      <c r="D9" s="5" t="s">
        <v>3326</v>
      </c>
      <c r="E9" s="5" t="s">
        <v>3327</v>
      </c>
      <c r="F9" s="5" t="s">
        <v>3328</v>
      </c>
      <c r="G9" s="5" t="s">
        <v>3329</v>
      </c>
      <c r="H9" s="5" t="s">
        <v>3330</v>
      </c>
      <c r="I9" s="5" t="s">
        <v>3331</v>
      </c>
      <c r="J9" s="5" t="s">
        <v>3332</v>
      </c>
      <c r="K9" s="5" t="s">
        <v>3333</v>
      </c>
      <c r="L9" s="5" t="s">
        <v>3286</v>
      </c>
      <c r="M9" s="5" t="s">
        <v>3287</v>
      </c>
      <c r="N9" s="5" t="s">
        <v>72</v>
      </c>
      <c r="O9" s="5"/>
    </row>
    <row r="10" spans="1:15" ht="21" customHeight="1">
      <c r="A10" s="5" t="s">
        <v>3334</v>
      </c>
      <c r="B10" s="5" t="s">
        <v>3335</v>
      </c>
      <c r="C10" s="5" t="s">
        <v>3336</v>
      </c>
      <c r="D10" s="5" t="s">
        <v>3337</v>
      </c>
      <c r="E10" s="5" t="s">
        <v>3338</v>
      </c>
      <c r="F10" s="5" t="s">
        <v>3339</v>
      </c>
      <c r="G10" s="5" t="s">
        <v>3340</v>
      </c>
      <c r="H10" s="5" t="s">
        <v>3341</v>
      </c>
      <c r="I10" s="5" t="s">
        <v>3342</v>
      </c>
      <c r="J10" s="5" t="s">
        <v>3343</v>
      </c>
      <c r="K10" s="5" t="s">
        <v>1987</v>
      </c>
      <c r="L10" s="5" t="s">
        <v>3286</v>
      </c>
      <c r="M10" s="5" t="s">
        <v>3344</v>
      </c>
      <c r="N10" s="5" t="s">
        <v>72</v>
      </c>
      <c r="O10" s="5"/>
    </row>
    <row r="11" spans="1:15" ht="21" customHeight="1">
      <c r="A11" s="5" t="s">
        <v>3345</v>
      </c>
      <c r="B11" s="5" t="s">
        <v>3346</v>
      </c>
      <c r="C11" s="5" t="s">
        <v>3347</v>
      </c>
      <c r="D11" s="5" t="s">
        <v>3348</v>
      </c>
      <c r="E11" s="5" t="s">
        <v>3349</v>
      </c>
      <c r="F11" s="5" t="s">
        <v>3350</v>
      </c>
      <c r="G11" s="5" t="s">
        <v>3351</v>
      </c>
      <c r="H11" s="5" t="s">
        <v>3352</v>
      </c>
      <c r="I11" s="5" t="s">
        <v>3353</v>
      </c>
      <c r="J11" s="5" t="s">
        <v>3354</v>
      </c>
      <c r="K11" s="5" t="s">
        <v>685</v>
      </c>
      <c r="L11" s="5" t="s">
        <v>3355</v>
      </c>
      <c r="M11" s="5" t="s">
        <v>3356</v>
      </c>
      <c r="N11" s="5" t="s">
        <v>72</v>
      </c>
      <c r="O11" s="5"/>
    </row>
    <row r="12" spans="1:15" ht="21" customHeight="1">
      <c r="A12" s="5" t="s">
        <v>3357</v>
      </c>
      <c r="B12" s="5" t="s">
        <v>3358</v>
      </c>
      <c r="C12" s="5" t="s">
        <v>3359</v>
      </c>
      <c r="D12" s="5" t="s">
        <v>3360</v>
      </c>
      <c r="E12" s="5" t="s">
        <v>3361</v>
      </c>
      <c r="F12" s="5" t="s">
        <v>3362</v>
      </c>
      <c r="G12" s="5" t="s">
        <v>3363</v>
      </c>
      <c r="H12" s="5" t="s">
        <v>3364</v>
      </c>
      <c r="I12" s="5" t="s">
        <v>3365</v>
      </c>
      <c r="J12" s="5" t="s">
        <v>3366</v>
      </c>
      <c r="K12" s="5" t="s">
        <v>3367</v>
      </c>
      <c r="L12" s="5" t="s">
        <v>3321</v>
      </c>
      <c r="M12" s="5" t="s">
        <v>3368</v>
      </c>
      <c r="N12" s="5" t="s">
        <v>72</v>
      </c>
      <c r="O12" s="5"/>
    </row>
    <row r="13" spans="1:15" ht="21" customHeight="1">
      <c r="A13" s="5" t="s">
        <v>3369</v>
      </c>
      <c r="B13" s="5" t="s">
        <v>3370</v>
      </c>
      <c r="C13" s="5" t="s">
        <v>3371</v>
      </c>
      <c r="D13" s="5" t="s">
        <v>3372</v>
      </c>
      <c r="E13" s="5" t="s">
        <v>3373</v>
      </c>
      <c r="F13" s="5" t="s">
        <v>3374</v>
      </c>
      <c r="G13" s="5" t="s">
        <v>3375</v>
      </c>
      <c r="H13" s="5" t="s">
        <v>3376</v>
      </c>
      <c r="I13" s="5" t="s">
        <v>3377</v>
      </c>
      <c r="J13" s="5" t="s">
        <v>3378</v>
      </c>
      <c r="K13" s="5" t="s">
        <v>966</v>
      </c>
      <c r="L13" s="5" t="s">
        <v>3321</v>
      </c>
      <c r="M13" s="5" t="s">
        <v>3379</v>
      </c>
      <c r="N13" s="5" t="s">
        <v>72</v>
      </c>
      <c r="O13" s="5"/>
    </row>
    <row r="14" spans="1:15" ht="21" customHeight="1">
      <c r="A14" s="5" t="s">
        <v>3380</v>
      </c>
      <c r="B14" s="5" t="s">
        <v>3381</v>
      </c>
      <c r="C14" s="5" t="s">
        <v>3382</v>
      </c>
      <c r="D14" s="5" t="s">
        <v>3383</v>
      </c>
      <c r="E14" s="5" t="s">
        <v>3384</v>
      </c>
      <c r="F14" s="5" t="s">
        <v>3385</v>
      </c>
      <c r="G14" s="5" t="s">
        <v>3386</v>
      </c>
      <c r="H14" s="5" t="s">
        <v>3387</v>
      </c>
      <c r="I14" s="5" t="s">
        <v>3388</v>
      </c>
      <c r="J14" s="5" t="s">
        <v>3389</v>
      </c>
      <c r="K14" s="5" t="s">
        <v>3390</v>
      </c>
      <c r="L14" s="5" t="s">
        <v>3321</v>
      </c>
      <c r="M14" s="5" t="s">
        <v>3391</v>
      </c>
      <c r="N14" s="5" t="s">
        <v>72</v>
      </c>
      <c r="O14" s="5"/>
    </row>
    <row r="15" spans="1:15" ht="21" customHeight="1">
      <c r="A15" s="5" t="s">
        <v>3392</v>
      </c>
      <c r="B15" s="5" t="s">
        <v>3393</v>
      </c>
      <c r="C15" s="5" t="s">
        <v>3394</v>
      </c>
      <c r="D15" s="5" t="s">
        <v>3395</v>
      </c>
      <c r="E15" s="5" t="s">
        <v>3396</v>
      </c>
      <c r="F15" s="5" t="s">
        <v>3397</v>
      </c>
      <c r="G15" s="5" t="s">
        <v>3398</v>
      </c>
      <c r="H15" s="5" t="s">
        <v>3399</v>
      </c>
      <c r="I15" s="5" t="s">
        <v>3400</v>
      </c>
      <c r="J15" s="5" t="s">
        <v>3401</v>
      </c>
      <c r="K15" s="5" t="s">
        <v>3402</v>
      </c>
      <c r="L15" s="5" t="s">
        <v>3286</v>
      </c>
      <c r="M15" s="5" t="s">
        <v>3403</v>
      </c>
      <c r="N15" s="5" t="s">
        <v>72</v>
      </c>
      <c r="O15" s="5"/>
    </row>
    <row r="16" spans="1:15" ht="21" customHeight="1">
      <c r="A16" s="5" t="s">
        <v>3404</v>
      </c>
      <c r="B16" s="5" t="s">
        <v>3405</v>
      </c>
      <c r="C16" s="5" t="s">
        <v>3406</v>
      </c>
      <c r="D16" s="5" t="s">
        <v>3407</v>
      </c>
      <c r="E16" s="5" t="s">
        <v>3408</v>
      </c>
      <c r="F16" s="5" t="s">
        <v>3409</v>
      </c>
      <c r="G16" s="5" t="s">
        <v>3410</v>
      </c>
      <c r="H16" s="5" t="s">
        <v>3411</v>
      </c>
      <c r="I16" s="5" t="s">
        <v>3412</v>
      </c>
      <c r="J16" s="5" t="s">
        <v>3413</v>
      </c>
      <c r="K16" s="5" t="s">
        <v>3414</v>
      </c>
      <c r="L16" s="5" t="s">
        <v>3286</v>
      </c>
      <c r="M16" s="5" t="s">
        <v>3287</v>
      </c>
      <c r="N16" s="5" t="s">
        <v>72</v>
      </c>
      <c r="O16" s="5"/>
    </row>
    <row r="17" spans="1:15" ht="21" customHeight="1">
      <c r="A17" s="5" t="s">
        <v>3415</v>
      </c>
      <c r="B17" s="5" t="s">
        <v>3416</v>
      </c>
      <c r="C17" s="5" t="s">
        <v>3417</v>
      </c>
      <c r="D17" s="5" t="s">
        <v>3418</v>
      </c>
      <c r="E17" s="5" t="s">
        <v>3419</v>
      </c>
      <c r="F17" s="5" t="s">
        <v>3420</v>
      </c>
      <c r="G17" s="5" t="s">
        <v>3421</v>
      </c>
      <c r="H17" s="5" t="s">
        <v>3422</v>
      </c>
      <c r="I17" s="5" t="s">
        <v>3423</v>
      </c>
      <c r="J17" s="5" t="s">
        <v>3424</v>
      </c>
      <c r="K17" s="5" t="s">
        <v>3425</v>
      </c>
      <c r="L17" s="5" t="s">
        <v>3321</v>
      </c>
      <c r="M17" s="5" t="s">
        <v>3426</v>
      </c>
      <c r="N17" s="5" t="s">
        <v>72</v>
      </c>
      <c r="O17" s="5"/>
    </row>
    <row r="18" spans="1:15" ht="21" customHeight="1">
      <c r="A18" s="5" t="s">
        <v>3427</v>
      </c>
      <c r="B18" s="5" t="s">
        <v>1240</v>
      </c>
      <c r="C18" s="5" t="s">
        <v>3428</v>
      </c>
      <c r="D18" s="5" t="s">
        <v>3429</v>
      </c>
      <c r="E18" s="5" t="s">
        <v>3430</v>
      </c>
      <c r="F18" s="5" t="s">
        <v>3431</v>
      </c>
      <c r="G18" s="5" t="s">
        <v>3432</v>
      </c>
      <c r="H18" s="5" t="s">
        <v>3433</v>
      </c>
      <c r="I18" s="5" t="s">
        <v>3434</v>
      </c>
      <c r="J18" s="5" t="s">
        <v>3435</v>
      </c>
      <c r="K18" s="5" t="s">
        <v>3436</v>
      </c>
      <c r="L18" s="5" t="s">
        <v>3321</v>
      </c>
      <c r="M18" s="5" t="s">
        <v>3344</v>
      </c>
      <c r="N18" s="5" t="s">
        <v>72</v>
      </c>
      <c r="O18" s="5"/>
    </row>
    <row r="19" spans="1:15" ht="21" customHeight="1">
      <c r="A19" s="5" t="s">
        <v>3437</v>
      </c>
      <c r="B19" s="5" t="s">
        <v>3438</v>
      </c>
      <c r="C19" s="5" t="s">
        <v>3439</v>
      </c>
      <c r="D19" s="5" t="s">
        <v>3440</v>
      </c>
      <c r="E19" s="5" t="s">
        <v>3441</v>
      </c>
      <c r="F19" s="5" t="s">
        <v>3442</v>
      </c>
      <c r="G19" s="5" t="s">
        <v>3443</v>
      </c>
      <c r="H19" s="5" t="s">
        <v>3444</v>
      </c>
      <c r="I19" s="5" t="s">
        <v>3445</v>
      </c>
      <c r="J19" s="5" t="s">
        <v>3446</v>
      </c>
      <c r="K19" s="5" t="s">
        <v>3447</v>
      </c>
      <c r="L19" s="5" t="s">
        <v>3321</v>
      </c>
      <c r="M19" s="5" t="s">
        <v>3368</v>
      </c>
      <c r="N19" s="5" t="s">
        <v>72</v>
      </c>
      <c r="O19" s="5"/>
    </row>
    <row r="20" spans="1:15" ht="21" customHeight="1">
      <c r="A20" s="5" t="s">
        <v>3448</v>
      </c>
      <c r="B20" s="5" t="s">
        <v>3449</v>
      </c>
      <c r="C20" s="5" t="s">
        <v>3450</v>
      </c>
      <c r="D20" s="5" t="s">
        <v>3451</v>
      </c>
      <c r="E20" s="5" t="s">
        <v>3452</v>
      </c>
      <c r="F20" s="5" t="s">
        <v>3453</v>
      </c>
      <c r="G20" s="5" t="s">
        <v>3454</v>
      </c>
      <c r="H20" s="5" t="s">
        <v>3455</v>
      </c>
      <c r="I20" s="5" t="s">
        <v>3456</v>
      </c>
      <c r="J20" s="5" t="s">
        <v>3457</v>
      </c>
      <c r="K20" s="5" t="s">
        <v>3458</v>
      </c>
      <c r="L20" s="5" t="s">
        <v>3355</v>
      </c>
      <c r="M20" s="5" t="s">
        <v>3459</v>
      </c>
      <c r="N20" s="5" t="s">
        <v>72</v>
      </c>
      <c r="O20" s="5"/>
    </row>
    <row r="21" spans="1:15" ht="21" customHeight="1">
      <c r="A21" s="5" t="s">
        <v>3460</v>
      </c>
      <c r="B21" s="5" t="s">
        <v>3461</v>
      </c>
      <c r="C21" s="5" t="s">
        <v>3462</v>
      </c>
      <c r="D21" s="5" t="s">
        <v>3463</v>
      </c>
      <c r="E21" s="5" t="s">
        <v>3464</v>
      </c>
      <c r="F21" s="5" t="s">
        <v>3465</v>
      </c>
      <c r="G21" s="5" t="s">
        <v>3466</v>
      </c>
      <c r="H21" s="5" t="s">
        <v>3467</v>
      </c>
      <c r="I21" s="5" t="s">
        <v>3468</v>
      </c>
      <c r="J21" s="5" t="s">
        <v>3469</v>
      </c>
      <c r="K21" s="5" t="s">
        <v>3470</v>
      </c>
      <c r="L21" s="5" t="s">
        <v>3321</v>
      </c>
      <c r="M21" s="5" t="s">
        <v>3471</v>
      </c>
      <c r="N21" s="5" t="s">
        <v>72</v>
      </c>
      <c r="O21" s="5"/>
    </row>
    <row r="22" spans="1:15" ht="21" customHeight="1">
      <c r="A22" s="5" t="s">
        <v>3472</v>
      </c>
      <c r="B22" s="5" t="s">
        <v>3473</v>
      </c>
      <c r="C22" s="5" t="s">
        <v>3474</v>
      </c>
      <c r="D22" s="5" t="s">
        <v>3475</v>
      </c>
      <c r="E22" s="5" t="s">
        <v>3476</v>
      </c>
      <c r="F22" s="5" t="s">
        <v>3477</v>
      </c>
      <c r="G22" s="5" t="s">
        <v>3478</v>
      </c>
      <c r="H22" s="5" t="s">
        <v>3479</v>
      </c>
      <c r="I22" s="5" t="s">
        <v>3480</v>
      </c>
      <c r="J22" s="5" t="s">
        <v>3481</v>
      </c>
      <c r="K22" s="5" t="s">
        <v>3482</v>
      </c>
      <c r="L22" s="5" t="s">
        <v>3286</v>
      </c>
      <c r="M22" s="5" t="s">
        <v>3287</v>
      </c>
      <c r="N22" s="5" t="s">
        <v>72</v>
      </c>
      <c r="O22" s="5"/>
    </row>
    <row r="23" spans="1:15" ht="21" customHeight="1">
      <c r="A23" s="5" t="s">
        <v>3483</v>
      </c>
      <c r="B23" s="5" t="s">
        <v>3484</v>
      </c>
      <c r="C23" s="5" t="s">
        <v>3485</v>
      </c>
      <c r="D23" s="5" t="s">
        <v>3486</v>
      </c>
      <c r="E23" s="5" t="s">
        <v>3487</v>
      </c>
      <c r="F23" s="5" t="s">
        <v>3488</v>
      </c>
      <c r="G23" s="5" t="s">
        <v>3489</v>
      </c>
      <c r="H23" s="5" t="s">
        <v>3490</v>
      </c>
      <c r="I23" s="5" t="s">
        <v>3491</v>
      </c>
      <c r="J23" s="5" t="s">
        <v>3492</v>
      </c>
      <c r="K23" s="5" t="s">
        <v>3493</v>
      </c>
      <c r="L23" s="5" t="s">
        <v>3321</v>
      </c>
      <c r="M23" s="5" t="s">
        <v>3459</v>
      </c>
      <c r="N23" s="5" t="s">
        <v>72</v>
      </c>
      <c r="O23" s="5"/>
    </row>
    <row r="24" spans="1:15" ht="21" customHeight="1">
      <c r="A24" s="5" t="s">
        <v>3494</v>
      </c>
      <c r="B24" s="5" t="s">
        <v>3495</v>
      </c>
      <c r="C24" s="5" t="s">
        <v>3496</v>
      </c>
      <c r="D24" s="5" t="s">
        <v>3497</v>
      </c>
      <c r="E24" s="5" t="s">
        <v>3498</v>
      </c>
      <c r="F24" s="5" t="s">
        <v>3499</v>
      </c>
      <c r="G24" s="5" t="s">
        <v>3500</v>
      </c>
      <c r="H24" s="5" t="s">
        <v>3501</v>
      </c>
      <c r="I24" s="5" t="s">
        <v>3502</v>
      </c>
      <c r="J24" s="5" t="s">
        <v>3503</v>
      </c>
      <c r="K24" s="5" t="s">
        <v>1987</v>
      </c>
      <c r="L24" s="5" t="s">
        <v>3321</v>
      </c>
      <c r="M24" s="5" t="s">
        <v>3287</v>
      </c>
      <c r="N24" s="5" t="s">
        <v>72</v>
      </c>
      <c r="O24" s="5"/>
    </row>
    <row r="25" spans="1:15" ht="21" customHeight="1">
      <c r="A25" s="5" t="s">
        <v>3504</v>
      </c>
      <c r="B25" s="5" t="s">
        <v>3505</v>
      </c>
      <c r="C25" s="5" t="s">
        <v>3506</v>
      </c>
      <c r="D25" s="5" t="s">
        <v>3507</v>
      </c>
      <c r="E25" s="5" t="s">
        <v>3508</v>
      </c>
      <c r="F25" s="5" t="s">
        <v>3509</v>
      </c>
      <c r="G25" s="5" t="s">
        <v>3510</v>
      </c>
      <c r="H25" s="5" t="s">
        <v>3511</v>
      </c>
      <c r="I25" s="5" t="s">
        <v>3512</v>
      </c>
      <c r="J25" s="5" t="s">
        <v>3513</v>
      </c>
      <c r="K25" s="5" t="s">
        <v>3514</v>
      </c>
      <c r="L25" s="5" t="s">
        <v>3355</v>
      </c>
      <c r="M25" s="5" t="s">
        <v>3515</v>
      </c>
      <c r="N25" s="5" t="s">
        <v>72</v>
      </c>
      <c r="O25" s="5"/>
    </row>
    <row r="26" spans="1:15" ht="21" customHeight="1">
      <c r="A26" s="5" t="s">
        <v>3516</v>
      </c>
      <c r="B26" s="5" t="s">
        <v>1902</v>
      </c>
      <c r="C26" s="5" t="s">
        <v>3517</v>
      </c>
      <c r="D26" s="5" t="s">
        <v>3518</v>
      </c>
      <c r="E26" s="5" t="s">
        <v>3519</v>
      </c>
      <c r="F26" s="5" t="s">
        <v>3520</v>
      </c>
      <c r="G26" s="5" t="s">
        <v>3521</v>
      </c>
      <c r="H26" s="5" t="s">
        <v>3522</v>
      </c>
      <c r="I26" s="5" t="s">
        <v>3523</v>
      </c>
      <c r="J26" s="5" t="s">
        <v>3524</v>
      </c>
      <c r="K26" s="5" t="s">
        <v>1924</v>
      </c>
      <c r="L26" s="5" t="s">
        <v>3286</v>
      </c>
      <c r="M26" s="5" t="s">
        <v>3310</v>
      </c>
      <c r="N26" s="5" t="s">
        <v>72</v>
      </c>
      <c r="O26" s="5"/>
    </row>
    <row r="27" spans="1:15" ht="21" customHeight="1">
      <c r="A27" s="5" t="s">
        <v>3525</v>
      </c>
      <c r="B27" s="5" t="s">
        <v>3526</v>
      </c>
      <c r="C27" s="5" t="s">
        <v>3527</v>
      </c>
      <c r="D27" s="5" t="s">
        <v>3528</v>
      </c>
      <c r="E27" s="5" t="s">
        <v>3529</v>
      </c>
      <c r="F27" s="5" t="s">
        <v>3530</v>
      </c>
      <c r="G27" s="5" t="s">
        <v>3531</v>
      </c>
      <c r="H27" s="5" t="s">
        <v>3532</v>
      </c>
      <c r="I27" s="5" t="s">
        <v>3533</v>
      </c>
      <c r="J27" s="5" t="s">
        <v>3534</v>
      </c>
      <c r="K27" s="5" t="s">
        <v>3482</v>
      </c>
      <c r="L27" s="5" t="s">
        <v>3286</v>
      </c>
      <c r="M27" s="5" t="s">
        <v>3287</v>
      </c>
      <c r="N27" s="5" t="s">
        <v>72</v>
      </c>
      <c r="O27" s="5"/>
    </row>
    <row r="28" spans="1:15" ht="21" customHeight="1">
      <c r="A28" s="5" t="s">
        <v>3535</v>
      </c>
      <c r="B28" s="5" t="s">
        <v>3536</v>
      </c>
      <c r="C28" s="5" t="s">
        <v>3537</v>
      </c>
      <c r="D28" s="5" t="s">
        <v>3538</v>
      </c>
      <c r="E28" s="5" t="s">
        <v>3539</v>
      </c>
      <c r="F28" s="5" t="s">
        <v>3540</v>
      </c>
      <c r="G28" s="5" t="s">
        <v>3541</v>
      </c>
      <c r="H28" s="5" t="s">
        <v>3542</v>
      </c>
      <c r="I28" s="5" t="s">
        <v>3543</v>
      </c>
      <c r="J28" s="5" t="s">
        <v>3544</v>
      </c>
      <c r="K28" s="5" t="s">
        <v>3545</v>
      </c>
      <c r="L28" s="5" t="s">
        <v>3321</v>
      </c>
      <c r="M28" s="5" t="s">
        <v>3546</v>
      </c>
      <c r="N28" s="5" t="s">
        <v>72</v>
      </c>
      <c r="O28" s="5"/>
    </row>
    <row r="29" spans="1:15" ht="21" customHeight="1">
      <c r="A29" s="5" t="s">
        <v>3547</v>
      </c>
      <c r="B29" s="5" t="s">
        <v>3548</v>
      </c>
      <c r="C29" s="5" t="s">
        <v>3549</v>
      </c>
      <c r="D29" s="5" t="s">
        <v>3550</v>
      </c>
      <c r="E29" s="5" t="s">
        <v>3551</v>
      </c>
      <c r="F29" s="5" t="s">
        <v>3552</v>
      </c>
      <c r="G29" s="5" t="s">
        <v>3553</v>
      </c>
      <c r="H29" s="5" t="s">
        <v>3554</v>
      </c>
      <c r="I29" s="5" t="s">
        <v>3555</v>
      </c>
      <c r="J29" s="5" t="s">
        <v>3556</v>
      </c>
      <c r="K29" s="5" t="s">
        <v>3557</v>
      </c>
      <c r="L29" s="5" t="s">
        <v>3355</v>
      </c>
      <c r="M29" s="5" t="s">
        <v>3368</v>
      </c>
      <c r="N29" s="5" t="s">
        <v>72</v>
      </c>
      <c r="O29" s="5"/>
    </row>
    <row r="30" spans="1:15" ht="21" customHeight="1">
      <c r="A30" s="5" t="s">
        <v>3558</v>
      </c>
      <c r="B30" s="5" t="s">
        <v>3559</v>
      </c>
      <c r="C30" s="5" t="s">
        <v>3560</v>
      </c>
      <c r="D30" s="5" t="s">
        <v>3561</v>
      </c>
      <c r="E30" s="5" t="s">
        <v>3562</v>
      </c>
      <c r="F30" s="5" t="s">
        <v>3563</v>
      </c>
      <c r="G30" s="5" t="s">
        <v>3564</v>
      </c>
      <c r="H30" s="5" t="s">
        <v>3565</v>
      </c>
      <c r="I30" s="5" t="s">
        <v>3566</v>
      </c>
      <c r="J30" s="5" t="s">
        <v>3567</v>
      </c>
      <c r="K30" s="5" t="s">
        <v>3568</v>
      </c>
      <c r="L30" s="5" t="s">
        <v>3321</v>
      </c>
      <c r="M30" s="5" t="s">
        <v>3569</v>
      </c>
      <c r="N30" s="5" t="s">
        <v>72</v>
      </c>
      <c r="O30" s="5"/>
    </row>
    <row r="31" spans="1:15" ht="21" customHeight="1">
      <c r="A31" s="5" t="s">
        <v>3570</v>
      </c>
      <c r="B31" s="5" t="s">
        <v>3571</v>
      </c>
      <c r="C31" s="5" t="s">
        <v>3572</v>
      </c>
      <c r="D31" s="5" t="s">
        <v>3573</v>
      </c>
      <c r="E31" s="5" t="s">
        <v>3574</v>
      </c>
      <c r="F31" s="5" t="s">
        <v>3575</v>
      </c>
      <c r="G31" s="5" t="s">
        <v>3576</v>
      </c>
      <c r="H31" s="5" t="s">
        <v>3577</v>
      </c>
      <c r="I31" s="5" t="s">
        <v>3578</v>
      </c>
      <c r="J31" s="5" t="s">
        <v>3579</v>
      </c>
      <c r="K31" s="5" t="s">
        <v>3580</v>
      </c>
      <c r="L31" s="5" t="s">
        <v>3321</v>
      </c>
      <c r="M31" s="5" t="s">
        <v>3368</v>
      </c>
      <c r="N31" s="5" t="s">
        <v>72</v>
      </c>
      <c r="O31" s="5"/>
    </row>
    <row r="32" spans="1:15" ht="21" customHeight="1">
      <c r="A32" s="5" t="s">
        <v>3581</v>
      </c>
      <c r="B32" s="5" t="s">
        <v>3582</v>
      </c>
      <c r="C32" s="5" t="s">
        <v>3583</v>
      </c>
      <c r="D32" s="5" t="s">
        <v>3584</v>
      </c>
      <c r="E32" s="5" t="s">
        <v>3585</v>
      </c>
      <c r="F32" s="5" t="s">
        <v>3586</v>
      </c>
      <c r="G32" s="5" t="s">
        <v>3587</v>
      </c>
      <c r="H32" s="5" t="s">
        <v>3588</v>
      </c>
      <c r="I32" s="5" t="s">
        <v>3589</v>
      </c>
      <c r="J32" s="5" t="s">
        <v>3590</v>
      </c>
      <c r="K32" s="5" t="s">
        <v>1987</v>
      </c>
      <c r="L32" s="5" t="s">
        <v>3321</v>
      </c>
      <c r="M32" s="5" t="s">
        <v>3546</v>
      </c>
      <c r="N32" s="5" t="s">
        <v>72</v>
      </c>
      <c r="O32" s="5"/>
    </row>
    <row r="33" spans="1:15" ht="21" customHeight="1">
      <c r="A33" s="5" t="s">
        <v>3591</v>
      </c>
      <c r="B33" s="5" t="s">
        <v>3592</v>
      </c>
      <c r="C33" s="5" t="s">
        <v>3593</v>
      </c>
      <c r="D33" s="5" t="s">
        <v>3594</v>
      </c>
      <c r="E33" s="5" t="s">
        <v>3595</v>
      </c>
      <c r="F33" s="5" t="s">
        <v>3596</v>
      </c>
      <c r="G33" s="5" t="s">
        <v>3597</v>
      </c>
      <c r="H33" s="5" t="s">
        <v>3598</v>
      </c>
      <c r="I33" s="5" t="s">
        <v>3599</v>
      </c>
      <c r="J33" s="5" t="s">
        <v>3600</v>
      </c>
      <c r="K33" s="5" t="s">
        <v>3601</v>
      </c>
      <c r="L33" s="5" t="s">
        <v>3355</v>
      </c>
      <c r="M33" s="5" t="s">
        <v>3602</v>
      </c>
      <c r="N33" s="5" t="s">
        <v>72</v>
      </c>
      <c r="O33" s="5"/>
    </row>
    <row r="34" spans="1:15" ht="21" customHeight="1">
      <c r="A34" s="5" t="s">
        <v>3603</v>
      </c>
      <c r="B34" s="5" t="s">
        <v>2467</v>
      </c>
      <c r="C34" s="5" t="s">
        <v>3604</v>
      </c>
      <c r="D34" s="5" t="s">
        <v>3605</v>
      </c>
      <c r="E34" s="5" t="s">
        <v>3606</v>
      </c>
      <c r="F34" s="5" t="s">
        <v>3607</v>
      </c>
      <c r="G34" s="5" t="s">
        <v>3608</v>
      </c>
      <c r="H34" s="5" t="s">
        <v>3609</v>
      </c>
      <c r="I34" s="5" t="s">
        <v>3610</v>
      </c>
      <c r="J34" s="5" t="s">
        <v>3611</v>
      </c>
      <c r="K34" s="5" t="s">
        <v>3612</v>
      </c>
      <c r="L34" s="5" t="s">
        <v>3286</v>
      </c>
      <c r="M34" s="5" t="s">
        <v>3322</v>
      </c>
      <c r="N34" s="5" t="s">
        <v>72</v>
      </c>
      <c r="O34" s="5"/>
    </row>
    <row r="35" spans="1:15" ht="21" customHeight="1">
      <c r="A35" s="5" t="s">
        <v>3613</v>
      </c>
      <c r="B35" s="5" t="s">
        <v>3614</v>
      </c>
      <c r="C35" s="5" t="s">
        <v>3615</v>
      </c>
      <c r="D35" s="5" t="s">
        <v>3616</v>
      </c>
      <c r="E35" s="5" t="s">
        <v>3617</v>
      </c>
      <c r="F35" s="5" t="s">
        <v>3618</v>
      </c>
      <c r="G35" s="5" t="s">
        <v>3619</v>
      </c>
      <c r="H35" s="5" t="s">
        <v>3620</v>
      </c>
      <c r="I35" s="5" t="s">
        <v>3621</v>
      </c>
      <c r="J35" s="5" t="s">
        <v>3622</v>
      </c>
      <c r="K35" s="5" t="s">
        <v>3623</v>
      </c>
      <c r="L35" s="5" t="s">
        <v>3286</v>
      </c>
      <c r="M35" s="5" t="s">
        <v>3287</v>
      </c>
      <c r="N35" s="5" t="s">
        <v>72</v>
      </c>
      <c r="O35" s="5"/>
    </row>
    <row r="36" spans="1:15" ht="21" customHeight="1">
      <c r="A36" s="5" t="s">
        <v>3624</v>
      </c>
      <c r="B36" s="5" t="s">
        <v>3625</v>
      </c>
      <c r="C36" s="5" t="s">
        <v>3626</v>
      </c>
      <c r="D36" s="5" t="s">
        <v>3627</v>
      </c>
      <c r="E36" s="5" t="s">
        <v>3628</v>
      </c>
      <c r="F36" s="5" t="s">
        <v>3629</v>
      </c>
      <c r="G36" s="5" t="s">
        <v>3630</v>
      </c>
      <c r="H36" s="5" t="s">
        <v>3631</v>
      </c>
      <c r="I36" s="5" t="s">
        <v>3632</v>
      </c>
      <c r="J36" s="5" t="s">
        <v>3633</v>
      </c>
      <c r="K36" s="5" t="s">
        <v>3634</v>
      </c>
      <c r="L36" s="5" t="s">
        <v>3355</v>
      </c>
      <c r="M36" s="5" t="s">
        <v>3569</v>
      </c>
      <c r="N36" s="5" t="s">
        <v>72</v>
      </c>
      <c r="O36" s="5"/>
    </row>
    <row r="37" spans="1:15" ht="21" customHeight="1">
      <c r="A37" s="5" t="s">
        <v>3635</v>
      </c>
      <c r="B37" s="5" t="s">
        <v>3636</v>
      </c>
      <c r="C37" s="5" t="s">
        <v>3637</v>
      </c>
      <c r="D37" s="5" t="s">
        <v>3638</v>
      </c>
      <c r="E37" s="5" t="s">
        <v>3639</v>
      </c>
      <c r="F37" s="5" t="s">
        <v>3640</v>
      </c>
      <c r="G37" s="5" t="s">
        <v>3641</v>
      </c>
      <c r="H37" s="5" t="s">
        <v>3642</v>
      </c>
      <c r="I37" s="5" t="s">
        <v>3643</v>
      </c>
      <c r="J37" s="5" t="s">
        <v>3644</v>
      </c>
      <c r="K37" s="5" t="s">
        <v>3645</v>
      </c>
      <c r="L37" s="5" t="s">
        <v>3646</v>
      </c>
      <c r="M37" s="5" t="s">
        <v>3344</v>
      </c>
      <c r="N37" s="5" t="s">
        <v>72</v>
      </c>
      <c r="O37" s="5"/>
    </row>
    <row r="38" spans="1:15" ht="21" customHeight="1">
      <c r="A38" s="5" t="s">
        <v>3647</v>
      </c>
      <c r="B38" s="5" t="s">
        <v>2584</v>
      </c>
      <c r="C38" s="5" t="s">
        <v>3648</v>
      </c>
      <c r="D38" s="5" t="s">
        <v>3649</v>
      </c>
      <c r="E38" s="5" t="s">
        <v>3650</v>
      </c>
      <c r="F38" s="5" t="s">
        <v>3651</v>
      </c>
      <c r="G38" s="5" t="s">
        <v>3652</v>
      </c>
      <c r="H38" s="5" t="s">
        <v>3653</v>
      </c>
      <c r="I38" s="5" t="s">
        <v>3654</v>
      </c>
      <c r="J38" s="5" t="s">
        <v>3655</v>
      </c>
      <c r="K38" s="5" t="s">
        <v>3656</v>
      </c>
      <c r="L38" s="5" t="s">
        <v>3355</v>
      </c>
      <c r="M38" s="5" t="s">
        <v>3287</v>
      </c>
      <c r="N38" s="5" t="s">
        <v>72</v>
      </c>
      <c r="O38" s="5"/>
    </row>
    <row r="39" spans="1:15" ht="21" customHeight="1">
      <c r="A39" s="5" t="s">
        <v>3657</v>
      </c>
      <c r="B39" s="5" t="s">
        <v>2502</v>
      </c>
      <c r="C39" s="5" t="s">
        <v>3658</v>
      </c>
      <c r="D39" s="5" t="s">
        <v>3659</v>
      </c>
      <c r="E39" s="5" t="s">
        <v>3660</v>
      </c>
      <c r="F39" s="5" t="s">
        <v>3661</v>
      </c>
      <c r="G39" s="5" t="s">
        <v>3662</v>
      </c>
      <c r="H39" s="5" t="s">
        <v>3663</v>
      </c>
      <c r="I39" s="5" t="s">
        <v>3664</v>
      </c>
      <c r="J39" s="5" t="s">
        <v>3665</v>
      </c>
      <c r="K39" s="5" t="s">
        <v>3666</v>
      </c>
      <c r="L39" s="5" t="s">
        <v>3321</v>
      </c>
      <c r="M39" s="5" t="s">
        <v>3310</v>
      </c>
      <c r="N39" s="5" t="s">
        <v>72</v>
      </c>
      <c r="O39" s="5"/>
    </row>
    <row r="40" spans="1:15" ht="21" customHeight="1">
      <c r="A40" s="5" t="s">
        <v>3667</v>
      </c>
      <c r="B40" s="5" t="s">
        <v>3668</v>
      </c>
      <c r="C40" s="5" t="s">
        <v>3669</v>
      </c>
      <c r="D40" s="5" t="s">
        <v>3670</v>
      </c>
      <c r="E40" s="5" t="s">
        <v>3671</v>
      </c>
      <c r="F40" s="5" t="s">
        <v>3672</v>
      </c>
      <c r="G40" s="5" t="s">
        <v>3673</v>
      </c>
      <c r="H40" s="5" t="s">
        <v>3674</v>
      </c>
      <c r="I40" s="5" t="s">
        <v>3675</v>
      </c>
      <c r="J40" s="5" t="s">
        <v>3676</v>
      </c>
      <c r="K40" s="5" t="s">
        <v>3677</v>
      </c>
      <c r="L40" s="5" t="s">
        <v>3355</v>
      </c>
      <c r="M40" s="5" t="s">
        <v>3287</v>
      </c>
      <c r="N40" s="5" t="s">
        <v>72</v>
      </c>
      <c r="O40" s="5"/>
    </row>
    <row r="41" spans="1:15" ht="21" customHeight="1">
      <c r="A41" s="5" t="s">
        <v>3678</v>
      </c>
      <c r="B41" s="5" t="s">
        <v>3679</v>
      </c>
      <c r="C41" s="5" t="s">
        <v>3680</v>
      </c>
      <c r="D41" s="5" t="s">
        <v>3681</v>
      </c>
      <c r="E41" s="5" t="s">
        <v>3682</v>
      </c>
      <c r="F41" s="5" t="s">
        <v>3683</v>
      </c>
      <c r="G41" s="5" t="s">
        <v>3684</v>
      </c>
      <c r="H41" s="5" t="s">
        <v>3685</v>
      </c>
      <c r="I41" s="5" t="s">
        <v>3686</v>
      </c>
      <c r="J41" s="5" t="s">
        <v>3687</v>
      </c>
      <c r="K41" s="5" t="s">
        <v>3688</v>
      </c>
      <c r="L41" s="5" t="s">
        <v>3646</v>
      </c>
      <c r="M41" s="5" t="s">
        <v>3546</v>
      </c>
      <c r="N41" s="5" t="s">
        <v>72</v>
      </c>
      <c r="O41" s="5"/>
    </row>
    <row r="42" spans="1:15" ht="21" customHeight="1">
      <c r="A42" s="5" t="s">
        <v>3689</v>
      </c>
      <c r="B42" s="5" t="s">
        <v>3690</v>
      </c>
      <c r="C42" s="5" t="s">
        <v>3691</v>
      </c>
      <c r="D42" s="5" t="s">
        <v>3692</v>
      </c>
      <c r="E42" s="5" t="s">
        <v>3693</v>
      </c>
      <c r="F42" s="5" t="s">
        <v>3694</v>
      </c>
      <c r="G42" s="5" t="s">
        <v>3695</v>
      </c>
      <c r="H42" s="5" t="s">
        <v>3696</v>
      </c>
      <c r="I42" s="5" t="s">
        <v>3697</v>
      </c>
      <c r="J42" s="5" t="s">
        <v>3698</v>
      </c>
      <c r="K42" s="5" t="s">
        <v>3699</v>
      </c>
      <c r="L42" s="5" t="s">
        <v>3355</v>
      </c>
      <c r="M42" s="5" t="s">
        <v>3287</v>
      </c>
      <c r="N42" s="5" t="s">
        <v>72</v>
      </c>
      <c r="O42" s="5"/>
    </row>
    <row r="43" spans="1:15" ht="21" customHeight="1">
      <c r="A43" s="5" t="s">
        <v>3700</v>
      </c>
      <c r="B43" s="5" t="s">
        <v>3701</v>
      </c>
      <c r="C43" s="5" t="s">
        <v>3702</v>
      </c>
      <c r="D43" s="5" t="s">
        <v>3703</v>
      </c>
      <c r="E43" s="5" t="s">
        <v>3704</v>
      </c>
      <c r="F43" s="5" t="s">
        <v>3705</v>
      </c>
      <c r="G43" s="5" t="s">
        <v>3706</v>
      </c>
      <c r="H43" s="5" t="s">
        <v>3707</v>
      </c>
      <c r="I43" s="5" t="s">
        <v>3708</v>
      </c>
      <c r="J43" s="5" t="s">
        <v>3709</v>
      </c>
      <c r="K43" s="5" t="s">
        <v>3710</v>
      </c>
      <c r="L43" s="5" t="s">
        <v>3646</v>
      </c>
      <c r="M43" s="5" t="s">
        <v>3711</v>
      </c>
      <c r="N43" s="5" t="s">
        <v>72</v>
      </c>
      <c r="O43" s="5"/>
    </row>
    <row r="44" spans="1:15" ht="21" customHeight="1">
      <c r="A44" s="5" t="s">
        <v>3712</v>
      </c>
      <c r="B44" s="5" t="s">
        <v>3713</v>
      </c>
      <c r="C44" s="5" t="s">
        <v>3714</v>
      </c>
      <c r="D44" s="5" t="s">
        <v>3715</v>
      </c>
      <c r="E44" s="5" t="s">
        <v>3716</v>
      </c>
      <c r="F44" s="5" t="s">
        <v>3717</v>
      </c>
      <c r="G44" s="5" t="s">
        <v>3718</v>
      </c>
      <c r="H44" s="5" t="s">
        <v>3719</v>
      </c>
      <c r="I44" s="5" t="s">
        <v>3720</v>
      </c>
      <c r="J44" s="5" t="s">
        <v>3721</v>
      </c>
      <c r="K44" s="5" t="s">
        <v>3722</v>
      </c>
      <c r="L44" s="5" t="s">
        <v>3646</v>
      </c>
      <c r="M44" s="5" t="s">
        <v>3723</v>
      </c>
      <c r="N44" s="5" t="s">
        <v>72</v>
      </c>
      <c r="O44" s="5"/>
    </row>
    <row r="45" spans="1:15" ht="21" customHeight="1">
      <c r="A45" s="5" t="s">
        <v>3724</v>
      </c>
      <c r="B45" s="5" t="s">
        <v>3725</v>
      </c>
      <c r="C45" s="5" t="s">
        <v>3726</v>
      </c>
      <c r="D45" s="5" t="s">
        <v>3727</v>
      </c>
      <c r="E45" s="5" t="s">
        <v>3728</v>
      </c>
      <c r="F45" s="5" t="s">
        <v>3729</v>
      </c>
      <c r="G45" s="5" t="s">
        <v>3730</v>
      </c>
      <c r="H45" s="5" t="s">
        <v>3731</v>
      </c>
      <c r="I45" s="5" t="s">
        <v>3732</v>
      </c>
      <c r="J45" s="5" t="s">
        <v>3733</v>
      </c>
      <c r="K45" s="5" t="s">
        <v>3734</v>
      </c>
      <c r="L45" s="5" t="s">
        <v>3646</v>
      </c>
      <c r="M45" s="5" t="s">
        <v>3735</v>
      </c>
      <c r="N45" s="5" t="s">
        <v>72</v>
      </c>
      <c r="O45" s="5"/>
    </row>
    <row r="46" spans="1:15" ht="21" customHeight="1">
      <c r="A46" s="5" t="s">
        <v>3736</v>
      </c>
      <c r="B46" s="5" t="s">
        <v>3737</v>
      </c>
      <c r="C46" s="5" t="s">
        <v>3738</v>
      </c>
      <c r="D46" s="5" t="s">
        <v>3739</v>
      </c>
      <c r="E46" s="5" t="s">
        <v>3740</v>
      </c>
      <c r="F46" s="5" t="s">
        <v>3741</v>
      </c>
      <c r="G46" s="5" t="s">
        <v>3742</v>
      </c>
      <c r="H46" s="5" t="s">
        <v>3743</v>
      </c>
      <c r="I46" s="5" t="s">
        <v>3744</v>
      </c>
      <c r="J46" s="5" t="s">
        <v>3745</v>
      </c>
      <c r="K46" s="5" t="s">
        <v>3746</v>
      </c>
      <c r="L46" s="5" t="s">
        <v>3355</v>
      </c>
      <c r="M46" s="5" t="s">
        <v>3546</v>
      </c>
      <c r="N46" s="5" t="s">
        <v>72</v>
      </c>
      <c r="O46" s="5"/>
    </row>
    <row r="47" spans="1:15" ht="21" customHeight="1">
      <c r="A47" s="5" t="s">
        <v>3747</v>
      </c>
      <c r="B47" s="5" t="s">
        <v>3748</v>
      </c>
      <c r="C47" s="5" t="s">
        <v>3749</v>
      </c>
      <c r="D47" s="5" t="s">
        <v>3750</v>
      </c>
      <c r="E47" s="5" t="s">
        <v>3751</v>
      </c>
      <c r="F47" s="5" t="s">
        <v>3752</v>
      </c>
      <c r="G47" s="5" t="s">
        <v>3753</v>
      </c>
      <c r="H47" s="5" t="s">
        <v>3754</v>
      </c>
      <c r="I47" s="5" t="s">
        <v>3755</v>
      </c>
      <c r="J47" s="5" t="s">
        <v>3756</v>
      </c>
      <c r="K47" s="5" t="s">
        <v>3757</v>
      </c>
      <c r="L47" s="5" t="s">
        <v>3646</v>
      </c>
      <c r="M47" s="5" t="s">
        <v>3758</v>
      </c>
      <c r="N47" s="5" t="s">
        <v>72</v>
      </c>
      <c r="O47" s="5"/>
    </row>
    <row r="48" spans="1:15" ht="21" customHeight="1">
      <c r="A48" s="5" t="s">
        <v>3759</v>
      </c>
      <c r="B48" s="5" t="s">
        <v>3760</v>
      </c>
      <c r="C48" s="5" t="s">
        <v>3761</v>
      </c>
      <c r="D48" s="5" t="s">
        <v>3762</v>
      </c>
      <c r="E48" s="5" t="s">
        <v>3763</v>
      </c>
      <c r="F48" s="5" t="s">
        <v>3764</v>
      </c>
      <c r="G48" s="5" t="s">
        <v>3765</v>
      </c>
      <c r="H48" s="5" t="s">
        <v>3766</v>
      </c>
      <c r="I48" s="5" t="s">
        <v>3767</v>
      </c>
      <c r="J48" s="5" t="s">
        <v>3768</v>
      </c>
      <c r="K48" s="5" t="s">
        <v>3769</v>
      </c>
      <c r="L48" s="5" t="s">
        <v>3321</v>
      </c>
      <c r="M48" s="5" t="s">
        <v>3344</v>
      </c>
      <c r="N48" s="5" t="s">
        <v>72</v>
      </c>
      <c r="O48" s="5"/>
    </row>
    <row r="49" spans="1:15" ht="21" customHeight="1">
      <c r="A49" s="5" t="s">
        <v>3770</v>
      </c>
      <c r="B49" s="5" t="s">
        <v>3771</v>
      </c>
      <c r="C49" s="5" t="s">
        <v>3772</v>
      </c>
      <c r="D49" s="5" t="s">
        <v>3773</v>
      </c>
      <c r="E49" s="5" t="s">
        <v>3774</v>
      </c>
      <c r="F49" s="5" t="s">
        <v>3775</v>
      </c>
      <c r="G49" s="5" t="s">
        <v>3776</v>
      </c>
      <c r="H49" s="5" t="s">
        <v>3777</v>
      </c>
      <c r="I49" s="5" t="s">
        <v>3778</v>
      </c>
      <c r="J49" s="5" t="s">
        <v>3779</v>
      </c>
      <c r="K49" s="5" t="s">
        <v>3780</v>
      </c>
      <c r="L49" s="5" t="s">
        <v>3646</v>
      </c>
      <c r="M49" s="5" t="s">
        <v>3781</v>
      </c>
      <c r="N49" s="5" t="s">
        <v>72</v>
      </c>
      <c r="O49" s="5"/>
    </row>
    <row r="50" spans="1:15" ht="21" customHeight="1">
      <c r="A50" s="5" t="s">
        <v>3782</v>
      </c>
      <c r="B50" s="5" t="s">
        <v>3783</v>
      </c>
      <c r="C50" s="5" t="s">
        <v>3784</v>
      </c>
      <c r="D50" s="5" t="s">
        <v>3785</v>
      </c>
      <c r="E50" s="5" t="s">
        <v>3786</v>
      </c>
      <c r="F50" s="5" t="s">
        <v>3787</v>
      </c>
      <c r="G50" s="5" t="s">
        <v>3788</v>
      </c>
      <c r="H50" s="5" t="s">
        <v>3789</v>
      </c>
      <c r="I50" s="5" t="s">
        <v>3790</v>
      </c>
      <c r="J50" s="5" t="s">
        <v>3791</v>
      </c>
      <c r="K50" s="5" t="s">
        <v>3792</v>
      </c>
      <c r="L50" s="5" t="s">
        <v>3321</v>
      </c>
      <c r="M50" s="5" t="s">
        <v>3287</v>
      </c>
      <c r="N50" s="5" t="s">
        <v>72</v>
      </c>
      <c r="O50" s="5"/>
    </row>
    <row r="51" spans="1:15" ht="21" customHeight="1">
      <c r="A51" s="5" t="s">
        <v>3793</v>
      </c>
      <c r="B51" s="5" t="s">
        <v>3794</v>
      </c>
      <c r="C51" s="5" t="s">
        <v>3795</v>
      </c>
      <c r="D51" s="5" t="s">
        <v>3796</v>
      </c>
      <c r="E51" s="5" t="s">
        <v>3797</v>
      </c>
      <c r="F51" s="5" t="s">
        <v>3798</v>
      </c>
      <c r="G51" s="5" t="s">
        <v>3799</v>
      </c>
      <c r="H51" s="5" t="s">
        <v>3800</v>
      </c>
      <c r="I51" s="5" t="s">
        <v>3801</v>
      </c>
      <c r="J51" s="5" t="s">
        <v>3802</v>
      </c>
      <c r="K51" s="5" t="s">
        <v>3803</v>
      </c>
      <c r="L51" s="5" t="s">
        <v>3355</v>
      </c>
      <c r="M51" s="5" t="s">
        <v>3804</v>
      </c>
      <c r="N51" s="5" t="s">
        <v>72</v>
      </c>
      <c r="O51" s="5"/>
    </row>
    <row r="52" spans="1:15" ht="21" customHeight="1">
      <c r="A52" s="5" t="s">
        <v>3805</v>
      </c>
      <c r="B52" s="5" t="s">
        <v>3806</v>
      </c>
      <c r="C52" s="5" t="s">
        <v>3807</v>
      </c>
      <c r="D52" s="5" t="s">
        <v>3808</v>
      </c>
      <c r="E52" s="5" t="s">
        <v>3809</v>
      </c>
      <c r="F52" s="5" t="s">
        <v>3810</v>
      </c>
      <c r="G52" s="5" t="s">
        <v>3811</v>
      </c>
      <c r="H52" s="5" t="s">
        <v>3812</v>
      </c>
      <c r="I52" s="5" t="s">
        <v>3813</v>
      </c>
      <c r="J52" s="5" t="s">
        <v>3814</v>
      </c>
      <c r="K52" s="5" t="s">
        <v>3815</v>
      </c>
      <c r="L52" s="5" t="s">
        <v>3286</v>
      </c>
      <c r="M52" s="5" t="s">
        <v>3602</v>
      </c>
      <c r="N52" s="5" t="s">
        <v>72</v>
      </c>
      <c r="O52" s="5"/>
    </row>
    <row r="53" spans="1:15" ht="21" customHeight="1">
      <c r="A53" s="5" t="s">
        <v>3816</v>
      </c>
      <c r="B53" s="5" t="s">
        <v>3817</v>
      </c>
      <c r="C53" s="5" t="s">
        <v>3818</v>
      </c>
      <c r="D53" s="5" t="s">
        <v>3819</v>
      </c>
      <c r="E53" s="5" t="s">
        <v>3820</v>
      </c>
      <c r="F53" s="5" t="s">
        <v>3821</v>
      </c>
      <c r="G53" s="5" t="s">
        <v>3822</v>
      </c>
      <c r="H53" s="5" t="s">
        <v>3823</v>
      </c>
      <c r="I53" s="5" t="s">
        <v>3824</v>
      </c>
      <c r="J53" s="5" t="s">
        <v>3825</v>
      </c>
      <c r="K53" s="5" t="s">
        <v>3826</v>
      </c>
      <c r="L53" s="5" t="s">
        <v>3646</v>
      </c>
      <c r="M53" s="5" t="s">
        <v>3827</v>
      </c>
      <c r="N53" s="5" t="s">
        <v>72</v>
      </c>
      <c r="O53" s="5"/>
    </row>
    <row r="54" spans="1:15" ht="21" customHeight="1">
      <c r="A54" s="5" t="s">
        <v>3828</v>
      </c>
      <c r="B54" s="5" t="s">
        <v>3829</v>
      </c>
      <c r="C54" s="5" t="s">
        <v>3830</v>
      </c>
      <c r="D54" s="5" t="s">
        <v>3831</v>
      </c>
      <c r="E54" s="5" t="s">
        <v>3832</v>
      </c>
      <c r="F54" s="5" t="s">
        <v>3833</v>
      </c>
      <c r="G54" s="5" t="s">
        <v>3834</v>
      </c>
      <c r="H54" s="5" t="s">
        <v>3835</v>
      </c>
      <c r="I54" s="5" t="s">
        <v>3836</v>
      </c>
      <c r="J54" s="5" t="s">
        <v>3837</v>
      </c>
      <c r="K54" s="5" t="s">
        <v>3838</v>
      </c>
      <c r="L54" s="5" t="s">
        <v>3646</v>
      </c>
      <c r="M54" s="5" t="s">
        <v>3839</v>
      </c>
      <c r="N54" s="5" t="s">
        <v>72</v>
      </c>
      <c r="O54" s="5"/>
    </row>
  </sheetData>
  <mergeCells count="2">
    <mergeCell ref="A1:O1"/>
    <mergeCell ref="A2:O2"/>
  </mergeCells>
  <phoneticPr fontId="11" type="noConversion"/>
  <conditionalFormatting sqref="N4:N54">
    <cfRule type="expression" dxfId="6" priority="1">
      <formula>N4="已掌握"</formula>
    </cfRule>
    <cfRule type="expression" dxfId="5" priority="2">
      <formula>N4="需复盘"</formula>
    </cfRule>
  </conditionalFormatting>
  <dataValidations count="1">
    <dataValidation type="list" sqref="N4:N54" xr:uid="{00000000-0002-0000-0200-000000000000}">
      <formula1>"未开始,学习中,已掌握,需复盘"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defaultRowHeight="13.5"/>
  <cols>
    <col min="1" max="1" width="22" customWidth="1"/>
    <col min="2" max="2" width="31" customWidth="1"/>
    <col min="3" max="3" width="16" customWidth="1"/>
    <col min="4" max="4" width="17" customWidth="1"/>
    <col min="5" max="5" width="22" customWidth="1"/>
    <col min="6" max="6" width="20" customWidth="1"/>
    <col min="7" max="7" width="11" customWidth="1"/>
    <col min="8" max="8" width="22" customWidth="1"/>
    <col min="9" max="9" width="48" customWidth="1"/>
  </cols>
  <sheetData>
    <row r="1" spans="1:9" ht="15" customHeight="1">
      <c r="A1" s="7" t="s">
        <v>3840</v>
      </c>
      <c r="B1" s="7"/>
      <c r="C1" s="7"/>
      <c r="D1" s="7"/>
      <c r="E1" s="7"/>
      <c r="F1" s="7"/>
      <c r="G1" s="7"/>
      <c r="H1" s="7"/>
      <c r="I1" s="7"/>
    </row>
    <row r="2" spans="1:9" ht="11.55" customHeight="1">
      <c r="A2" s="8" t="s">
        <v>3841</v>
      </c>
      <c r="B2" s="8"/>
      <c r="C2" s="8"/>
      <c r="D2" s="8"/>
      <c r="E2" s="8"/>
      <c r="F2" s="8"/>
      <c r="G2" s="8"/>
      <c r="H2" s="8"/>
      <c r="I2" s="8"/>
    </row>
    <row r="3" spans="1:9" ht="18" customHeight="1">
      <c r="A3" s="1" t="s">
        <v>3842</v>
      </c>
      <c r="B3" s="1" t="s">
        <v>35</v>
      </c>
      <c r="C3" s="1" t="s">
        <v>3843</v>
      </c>
      <c r="D3" s="1" t="s">
        <v>3844</v>
      </c>
      <c r="E3" s="1" t="s">
        <v>3845</v>
      </c>
      <c r="F3" s="1" t="s">
        <v>3846</v>
      </c>
      <c r="G3" s="1" t="s">
        <v>11</v>
      </c>
      <c r="H3" s="1" t="s">
        <v>50</v>
      </c>
      <c r="I3" s="1" t="s">
        <v>3847</v>
      </c>
    </row>
    <row r="4" spans="1:9" ht="21" customHeight="1">
      <c r="A4" s="5" t="s">
        <v>3848</v>
      </c>
      <c r="B4" s="5" t="s">
        <v>3849</v>
      </c>
      <c r="C4" s="5" t="s">
        <v>3850</v>
      </c>
      <c r="D4" s="5" t="s">
        <v>3851</v>
      </c>
      <c r="E4" s="5" t="s">
        <v>3852</v>
      </c>
      <c r="F4" s="5" t="s">
        <v>3853</v>
      </c>
      <c r="G4" s="5" t="s">
        <v>14</v>
      </c>
      <c r="H4" s="5" t="s">
        <v>3854</v>
      </c>
      <c r="I4" s="5" t="s">
        <v>3855</v>
      </c>
    </row>
    <row r="5" spans="1:9" ht="21" customHeight="1">
      <c r="A5" s="5" t="s">
        <v>3848</v>
      </c>
      <c r="B5" s="5" t="s">
        <v>3856</v>
      </c>
      <c r="C5" s="5" t="s">
        <v>3857</v>
      </c>
      <c r="D5" s="5" t="s">
        <v>3858</v>
      </c>
      <c r="E5" s="5" t="s">
        <v>3859</v>
      </c>
      <c r="F5" s="5" t="s">
        <v>100</v>
      </c>
      <c r="G5" s="5" t="s">
        <v>14</v>
      </c>
      <c r="H5" s="5" t="s">
        <v>967</v>
      </c>
      <c r="I5" s="5" t="s">
        <v>3860</v>
      </c>
    </row>
    <row r="6" spans="1:9" ht="21" customHeight="1">
      <c r="A6" s="5" t="s">
        <v>3848</v>
      </c>
      <c r="B6" s="5" t="s">
        <v>3861</v>
      </c>
      <c r="C6" s="5" t="s">
        <v>3862</v>
      </c>
      <c r="D6" s="5" t="s">
        <v>3863</v>
      </c>
      <c r="E6" s="5" t="s">
        <v>3864</v>
      </c>
      <c r="F6" s="5" t="s">
        <v>548</v>
      </c>
      <c r="G6" s="5" t="s">
        <v>16</v>
      </c>
      <c r="H6" s="5" t="s">
        <v>3865</v>
      </c>
      <c r="I6" s="5" t="s">
        <v>3866</v>
      </c>
    </row>
    <row r="7" spans="1:9" ht="21" customHeight="1">
      <c r="A7" s="5" t="s">
        <v>637</v>
      </c>
      <c r="B7" s="5" t="s">
        <v>3867</v>
      </c>
      <c r="C7" s="5" t="s">
        <v>3868</v>
      </c>
      <c r="D7" s="5" t="s">
        <v>3858</v>
      </c>
      <c r="E7" s="5" t="s">
        <v>3869</v>
      </c>
      <c r="F7" s="5" t="s">
        <v>100</v>
      </c>
      <c r="G7" s="5" t="s">
        <v>14</v>
      </c>
      <c r="H7" s="5" t="s">
        <v>967</v>
      </c>
      <c r="I7" s="5" t="s">
        <v>3870</v>
      </c>
    </row>
    <row r="8" spans="1:9" ht="21" customHeight="1">
      <c r="A8" s="5" t="s">
        <v>637</v>
      </c>
      <c r="B8" s="5" t="s">
        <v>3871</v>
      </c>
      <c r="C8" s="5" t="s">
        <v>3872</v>
      </c>
      <c r="D8" s="5" t="s">
        <v>3863</v>
      </c>
      <c r="E8" s="5" t="s">
        <v>3873</v>
      </c>
      <c r="F8" s="5" t="s">
        <v>714</v>
      </c>
      <c r="G8" s="5" t="s">
        <v>14</v>
      </c>
      <c r="H8" s="5" t="s">
        <v>3874</v>
      </c>
      <c r="I8" s="5" t="s">
        <v>3875</v>
      </c>
    </row>
    <row r="9" spans="1:9" ht="21" customHeight="1">
      <c r="A9" s="5" t="s">
        <v>637</v>
      </c>
      <c r="B9" s="5" t="s">
        <v>3876</v>
      </c>
      <c r="C9" s="5" t="s">
        <v>3877</v>
      </c>
      <c r="D9" s="5" t="s">
        <v>3863</v>
      </c>
      <c r="E9" s="5" t="s">
        <v>3869</v>
      </c>
      <c r="F9" s="5" t="s">
        <v>100</v>
      </c>
      <c r="G9" s="5" t="s">
        <v>14</v>
      </c>
      <c r="H9" s="5" t="s">
        <v>3878</v>
      </c>
      <c r="I9" s="5" t="s">
        <v>3879</v>
      </c>
    </row>
    <row r="10" spans="1:9" ht="21" customHeight="1">
      <c r="A10" s="5" t="s">
        <v>1043</v>
      </c>
      <c r="B10" s="5" t="s">
        <v>3880</v>
      </c>
      <c r="C10" s="5" t="s">
        <v>3881</v>
      </c>
      <c r="D10" s="5" t="s">
        <v>3858</v>
      </c>
      <c r="E10" s="5" t="s">
        <v>3882</v>
      </c>
      <c r="F10" s="5" t="s">
        <v>100</v>
      </c>
      <c r="G10" s="5" t="s">
        <v>14</v>
      </c>
      <c r="H10" s="5" t="s">
        <v>967</v>
      </c>
      <c r="I10" s="5" t="s">
        <v>3883</v>
      </c>
    </row>
    <row r="11" spans="1:9" ht="21" customHeight="1">
      <c r="A11" s="5" t="s">
        <v>1043</v>
      </c>
      <c r="B11" s="5" t="s">
        <v>3884</v>
      </c>
      <c r="C11" s="5" t="s">
        <v>3885</v>
      </c>
      <c r="D11" s="5" t="s">
        <v>3863</v>
      </c>
      <c r="E11" s="5" t="s">
        <v>3869</v>
      </c>
      <c r="F11" s="5" t="s">
        <v>100</v>
      </c>
      <c r="G11" s="5" t="s">
        <v>16</v>
      </c>
      <c r="H11" s="5" t="s">
        <v>3886</v>
      </c>
      <c r="I11" s="5" t="s">
        <v>3887</v>
      </c>
    </row>
    <row r="12" spans="1:9" ht="21" customHeight="1">
      <c r="A12" s="5" t="s">
        <v>1043</v>
      </c>
      <c r="B12" s="5" t="s">
        <v>3888</v>
      </c>
      <c r="C12" s="5" t="s">
        <v>3862</v>
      </c>
      <c r="D12" s="5" t="s">
        <v>3889</v>
      </c>
      <c r="E12" s="5" t="s">
        <v>3869</v>
      </c>
      <c r="F12" s="5" t="s">
        <v>548</v>
      </c>
      <c r="G12" s="5" t="s">
        <v>16</v>
      </c>
      <c r="H12" s="5" t="s">
        <v>70</v>
      </c>
      <c r="I12" s="5" t="s">
        <v>3890</v>
      </c>
    </row>
    <row r="13" spans="1:9" ht="21" customHeight="1">
      <c r="A13" s="5" t="s">
        <v>1043</v>
      </c>
      <c r="B13" s="5" t="s">
        <v>3891</v>
      </c>
      <c r="C13" s="5" t="s">
        <v>3892</v>
      </c>
      <c r="D13" s="5" t="s">
        <v>3893</v>
      </c>
      <c r="E13" s="5" t="s">
        <v>3869</v>
      </c>
      <c r="F13" s="5" t="s">
        <v>1617</v>
      </c>
      <c r="G13" s="5" t="s">
        <v>20</v>
      </c>
      <c r="H13" s="5" t="s">
        <v>3894</v>
      </c>
      <c r="I13" s="5" t="s">
        <v>3895</v>
      </c>
    </row>
    <row r="14" spans="1:9" ht="21" customHeight="1">
      <c r="A14" s="5" t="s">
        <v>3896</v>
      </c>
      <c r="B14" s="5" t="s">
        <v>3897</v>
      </c>
      <c r="C14" s="5" t="s">
        <v>3898</v>
      </c>
      <c r="D14" s="5" t="s">
        <v>3863</v>
      </c>
      <c r="E14" s="5" t="s">
        <v>3899</v>
      </c>
      <c r="F14" s="5" t="s">
        <v>3900</v>
      </c>
      <c r="G14" s="5" t="s">
        <v>18</v>
      </c>
      <c r="H14" s="5" t="s">
        <v>1379</v>
      </c>
      <c r="I14" s="5" t="s">
        <v>3901</v>
      </c>
    </row>
    <row r="15" spans="1:9" ht="21" customHeight="1">
      <c r="A15" s="5" t="s">
        <v>3896</v>
      </c>
      <c r="B15" s="5" t="s">
        <v>3902</v>
      </c>
      <c r="C15" s="5" t="s">
        <v>3903</v>
      </c>
      <c r="D15" s="5" t="s">
        <v>3889</v>
      </c>
      <c r="E15" s="5" t="s">
        <v>3869</v>
      </c>
      <c r="F15" s="5" t="s">
        <v>809</v>
      </c>
      <c r="G15" s="5" t="s">
        <v>18</v>
      </c>
      <c r="H15" s="5" t="s">
        <v>1379</v>
      </c>
      <c r="I15" s="5" t="s">
        <v>3904</v>
      </c>
    </row>
    <row r="16" spans="1:9" ht="21" customHeight="1">
      <c r="A16" s="5" t="s">
        <v>1676</v>
      </c>
      <c r="B16" s="5" t="s">
        <v>3905</v>
      </c>
      <c r="C16" s="5" t="s">
        <v>3877</v>
      </c>
      <c r="D16" s="5" t="s">
        <v>3863</v>
      </c>
      <c r="E16" s="5" t="s">
        <v>3869</v>
      </c>
      <c r="F16" s="5" t="s">
        <v>100</v>
      </c>
      <c r="G16" s="5" t="s">
        <v>14</v>
      </c>
      <c r="H16" s="5" t="s">
        <v>3906</v>
      </c>
      <c r="I16" s="5" t="s">
        <v>3907</v>
      </c>
    </row>
    <row r="17" spans="1:9" ht="21" customHeight="1">
      <c r="A17" s="5" t="s">
        <v>1676</v>
      </c>
      <c r="B17" s="5" t="s">
        <v>3908</v>
      </c>
      <c r="C17" s="5" t="s">
        <v>3872</v>
      </c>
      <c r="D17" s="5" t="s">
        <v>3889</v>
      </c>
      <c r="E17" s="5" t="s">
        <v>3869</v>
      </c>
      <c r="F17" s="5" t="s">
        <v>548</v>
      </c>
      <c r="G17" s="5" t="s">
        <v>16</v>
      </c>
      <c r="H17" s="5" t="s">
        <v>70</v>
      </c>
      <c r="I17" s="5" t="s">
        <v>3909</v>
      </c>
    </row>
    <row r="18" spans="1:9" ht="21" customHeight="1">
      <c r="A18" s="5" t="s">
        <v>1676</v>
      </c>
      <c r="B18" s="5" t="s">
        <v>3910</v>
      </c>
      <c r="C18" s="5" t="s">
        <v>3877</v>
      </c>
      <c r="D18" s="5" t="s">
        <v>3863</v>
      </c>
      <c r="E18" s="5" t="s">
        <v>3911</v>
      </c>
      <c r="F18" s="5" t="s">
        <v>714</v>
      </c>
      <c r="G18" s="5" t="s">
        <v>14</v>
      </c>
      <c r="H18" s="5" t="s">
        <v>3912</v>
      </c>
      <c r="I18" s="5" t="s">
        <v>3913</v>
      </c>
    </row>
    <row r="19" spans="1:9" ht="21" customHeight="1">
      <c r="A19" s="5" t="s">
        <v>2013</v>
      </c>
      <c r="B19" s="5" t="s">
        <v>3914</v>
      </c>
      <c r="C19" s="5" t="s">
        <v>3868</v>
      </c>
      <c r="D19" s="5" t="s">
        <v>3863</v>
      </c>
      <c r="E19" s="5" t="s">
        <v>3882</v>
      </c>
      <c r="F19" s="5" t="s">
        <v>100</v>
      </c>
      <c r="G19" s="5" t="s">
        <v>14</v>
      </c>
      <c r="H19" s="5" t="s">
        <v>967</v>
      </c>
      <c r="I19" s="5" t="s">
        <v>3915</v>
      </c>
    </row>
    <row r="20" spans="1:9" ht="21" customHeight="1">
      <c r="A20" s="5" t="s">
        <v>2013</v>
      </c>
      <c r="B20" s="5" t="s">
        <v>3916</v>
      </c>
      <c r="C20" s="5" t="s">
        <v>3872</v>
      </c>
      <c r="D20" s="5" t="s">
        <v>3889</v>
      </c>
      <c r="E20" s="5" t="s">
        <v>3882</v>
      </c>
      <c r="F20" s="5" t="s">
        <v>548</v>
      </c>
      <c r="G20" s="5" t="s">
        <v>16</v>
      </c>
      <c r="H20" s="5" t="s">
        <v>70</v>
      </c>
      <c r="I20" s="5" t="s">
        <v>3917</v>
      </c>
    </row>
    <row r="21" spans="1:9" ht="21" customHeight="1">
      <c r="A21" s="5" t="s">
        <v>2013</v>
      </c>
      <c r="B21" s="5" t="s">
        <v>3918</v>
      </c>
      <c r="C21" s="5" t="s">
        <v>3885</v>
      </c>
      <c r="D21" s="5" t="s">
        <v>3863</v>
      </c>
      <c r="E21" s="5" t="s">
        <v>3911</v>
      </c>
      <c r="F21" s="5" t="s">
        <v>100</v>
      </c>
      <c r="G21" s="5" t="s">
        <v>14</v>
      </c>
      <c r="H21" s="5" t="s">
        <v>3919</v>
      </c>
      <c r="I21" s="5" t="s">
        <v>3920</v>
      </c>
    </row>
    <row r="22" spans="1:9" ht="21" customHeight="1">
      <c r="A22" s="5" t="s">
        <v>2013</v>
      </c>
      <c r="B22" s="5" t="s">
        <v>3921</v>
      </c>
      <c r="C22" s="5" t="s">
        <v>3885</v>
      </c>
      <c r="D22" s="5" t="s">
        <v>3863</v>
      </c>
      <c r="E22" s="5" t="s">
        <v>3911</v>
      </c>
      <c r="F22" s="5" t="s">
        <v>100</v>
      </c>
      <c r="G22" s="5" t="s">
        <v>14</v>
      </c>
      <c r="H22" s="5" t="s">
        <v>967</v>
      </c>
      <c r="I22" s="5" t="s">
        <v>3922</v>
      </c>
    </row>
    <row r="23" spans="1:9" ht="21" customHeight="1">
      <c r="A23" s="5" t="s">
        <v>2013</v>
      </c>
      <c r="B23" s="5" t="s">
        <v>3923</v>
      </c>
      <c r="C23" s="5" t="s">
        <v>3903</v>
      </c>
      <c r="D23" s="5" t="s">
        <v>3924</v>
      </c>
      <c r="E23" s="5" t="s">
        <v>3882</v>
      </c>
      <c r="F23" s="5" t="s">
        <v>809</v>
      </c>
      <c r="G23" s="5" t="s">
        <v>18</v>
      </c>
      <c r="H23" s="5" t="s">
        <v>3925</v>
      </c>
      <c r="I23" s="5" t="s">
        <v>3926</v>
      </c>
    </row>
    <row r="24" spans="1:9" ht="21" customHeight="1">
      <c r="A24" s="5" t="s">
        <v>2619</v>
      </c>
      <c r="B24" s="5" t="s">
        <v>3927</v>
      </c>
      <c r="C24" s="5" t="s">
        <v>3885</v>
      </c>
      <c r="D24" s="5" t="s">
        <v>3863</v>
      </c>
      <c r="E24" s="5" t="s">
        <v>3869</v>
      </c>
      <c r="F24" s="5" t="s">
        <v>100</v>
      </c>
      <c r="G24" s="5" t="s">
        <v>16</v>
      </c>
      <c r="H24" s="5" t="s">
        <v>3928</v>
      </c>
      <c r="I24" s="5" t="s">
        <v>3929</v>
      </c>
    </row>
    <row r="25" spans="1:9" ht="21" customHeight="1">
      <c r="A25" s="5" t="s">
        <v>2619</v>
      </c>
      <c r="B25" s="5" t="s">
        <v>3930</v>
      </c>
      <c r="C25" s="5" t="s">
        <v>3885</v>
      </c>
      <c r="D25" s="5" t="s">
        <v>3889</v>
      </c>
      <c r="E25" s="5" t="s">
        <v>3882</v>
      </c>
      <c r="F25" s="5" t="s">
        <v>100</v>
      </c>
      <c r="G25" s="5" t="s">
        <v>14</v>
      </c>
      <c r="H25" s="5" t="s">
        <v>3931</v>
      </c>
      <c r="I25" s="5" t="s">
        <v>3932</v>
      </c>
    </row>
    <row r="26" spans="1:9" ht="21" customHeight="1">
      <c r="A26" s="5" t="s">
        <v>2619</v>
      </c>
      <c r="B26" s="5" t="s">
        <v>3933</v>
      </c>
      <c r="C26" s="5" t="s">
        <v>3872</v>
      </c>
      <c r="D26" s="5" t="s">
        <v>3858</v>
      </c>
      <c r="E26" s="5" t="s">
        <v>3934</v>
      </c>
      <c r="F26" s="5" t="s">
        <v>87</v>
      </c>
      <c r="G26" s="5" t="s">
        <v>14</v>
      </c>
      <c r="H26" s="5" t="s">
        <v>967</v>
      </c>
      <c r="I26" s="5" t="s">
        <v>3935</v>
      </c>
    </row>
    <row r="27" spans="1:9" ht="21" customHeight="1">
      <c r="A27" s="5" t="s">
        <v>2619</v>
      </c>
      <c r="B27" s="5" t="s">
        <v>2620</v>
      </c>
      <c r="C27" s="5" t="s">
        <v>3898</v>
      </c>
      <c r="D27" s="5" t="s">
        <v>3893</v>
      </c>
      <c r="E27" s="5" t="s">
        <v>3936</v>
      </c>
      <c r="F27" s="5" t="s">
        <v>3937</v>
      </c>
      <c r="G27" s="5" t="s">
        <v>18</v>
      </c>
      <c r="H27" s="5" t="s">
        <v>1379</v>
      </c>
      <c r="I27" s="5" t="s">
        <v>3938</v>
      </c>
    </row>
    <row r="28" spans="1:9" ht="21" customHeight="1">
      <c r="A28" s="5" t="s">
        <v>2966</v>
      </c>
      <c r="B28" s="5" t="s">
        <v>3939</v>
      </c>
      <c r="C28" s="5" t="s">
        <v>3872</v>
      </c>
      <c r="D28" s="5" t="s">
        <v>3889</v>
      </c>
      <c r="E28" s="5" t="s">
        <v>3869</v>
      </c>
      <c r="F28" s="5" t="s">
        <v>548</v>
      </c>
      <c r="G28" s="5" t="s">
        <v>16</v>
      </c>
      <c r="H28" s="5" t="s">
        <v>70</v>
      </c>
      <c r="I28" s="5" t="s">
        <v>3940</v>
      </c>
    </row>
    <row r="29" spans="1:9" ht="21" customHeight="1">
      <c r="A29" s="5" t="s">
        <v>2966</v>
      </c>
      <c r="B29" s="5" t="s">
        <v>3941</v>
      </c>
      <c r="C29" s="5" t="s">
        <v>3850</v>
      </c>
      <c r="D29" s="5" t="s">
        <v>3924</v>
      </c>
      <c r="E29" s="5" t="s">
        <v>3869</v>
      </c>
      <c r="F29" s="5" t="s">
        <v>205</v>
      </c>
      <c r="G29" s="5" t="s">
        <v>18</v>
      </c>
      <c r="H29" s="5" t="s">
        <v>1379</v>
      </c>
      <c r="I29" s="5" t="s">
        <v>3942</v>
      </c>
    </row>
    <row r="30" spans="1:9" ht="21" customHeight="1">
      <c r="A30" s="5" t="s">
        <v>2966</v>
      </c>
      <c r="B30" s="5" t="s">
        <v>3943</v>
      </c>
      <c r="C30" s="5" t="s">
        <v>3850</v>
      </c>
      <c r="D30" s="5" t="s">
        <v>3889</v>
      </c>
      <c r="E30" s="5" t="s">
        <v>3911</v>
      </c>
      <c r="F30" s="5" t="s">
        <v>3173</v>
      </c>
      <c r="G30" s="5" t="s">
        <v>16</v>
      </c>
      <c r="H30" s="5" t="s">
        <v>3906</v>
      </c>
      <c r="I30" s="5" t="s">
        <v>3944</v>
      </c>
    </row>
  </sheetData>
  <mergeCells count="2">
    <mergeCell ref="A1:I1"/>
    <mergeCell ref="A2:I2"/>
  </mergeCells>
  <phoneticPr fontId="11" type="noConversion"/>
  <conditionalFormatting sqref="G4:G30">
    <cfRule type="expression" dxfId="4" priority="1">
      <formula>G4="S"</formula>
    </cfRule>
    <cfRule type="expression" dxfId="3" priority="2">
      <formula>G4="A"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3.5"/>
  <cols>
    <col min="1" max="1" width="11" customWidth="1"/>
    <col min="2" max="2" width="95" customWidth="1"/>
    <col min="3" max="3" width="48" customWidth="1"/>
  </cols>
  <sheetData>
    <row r="1" spans="1:3" ht="15" customHeight="1">
      <c r="A1" s="7" t="s">
        <v>3945</v>
      </c>
      <c r="B1" s="7"/>
      <c r="C1" s="7"/>
    </row>
    <row r="2" spans="1:3" ht="11.55" customHeight="1">
      <c r="A2" s="8" t="s">
        <v>3946</v>
      </c>
      <c r="B2" s="8"/>
      <c r="C2" s="8"/>
    </row>
    <row r="3" spans="1:3" ht="18" customHeight="1">
      <c r="A3" s="1" t="s">
        <v>3947</v>
      </c>
      <c r="B3" s="1" t="s">
        <v>3948</v>
      </c>
      <c r="C3" s="1" t="s">
        <v>3949</v>
      </c>
    </row>
    <row r="4" spans="1:3" ht="21" customHeight="1">
      <c r="A4" s="5" t="s">
        <v>3950</v>
      </c>
      <c r="B4" s="5" t="s">
        <v>3951</v>
      </c>
      <c r="C4" s="5" t="s">
        <v>3952</v>
      </c>
    </row>
    <row r="5" spans="1:3" ht="21" customHeight="1">
      <c r="A5" s="5" t="s">
        <v>3953</v>
      </c>
      <c r="B5" s="5" t="s">
        <v>3954</v>
      </c>
      <c r="C5" s="5" t="s">
        <v>3955</v>
      </c>
    </row>
    <row r="6" spans="1:3" ht="21" customHeight="1">
      <c r="A6" s="5" t="s">
        <v>3956</v>
      </c>
      <c r="B6" s="5" t="s">
        <v>3957</v>
      </c>
      <c r="C6" s="5" t="s">
        <v>3958</v>
      </c>
    </row>
    <row r="7" spans="1:3" ht="21" customHeight="1">
      <c r="A7" s="5" t="s">
        <v>3959</v>
      </c>
      <c r="B7" s="5" t="s">
        <v>3960</v>
      </c>
      <c r="C7" s="5" t="s">
        <v>3961</v>
      </c>
    </row>
    <row r="8" spans="1:3" ht="21" customHeight="1">
      <c r="A8" s="5" t="s">
        <v>3962</v>
      </c>
      <c r="B8" s="5" t="s">
        <v>3963</v>
      </c>
      <c r="C8" s="5" t="s">
        <v>3964</v>
      </c>
    </row>
    <row r="9" spans="1:3" ht="21" customHeight="1">
      <c r="A9" s="5" t="s">
        <v>3965</v>
      </c>
      <c r="B9" s="5" t="s">
        <v>3966</v>
      </c>
      <c r="C9" s="5" t="s">
        <v>3967</v>
      </c>
    </row>
    <row r="10" spans="1:3" ht="21" customHeight="1">
      <c r="A10" s="5" t="s">
        <v>3968</v>
      </c>
      <c r="B10" s="5" t="s">
        <v>3969</v>
      </c>
      <c r="C10" s="5" t="s">
        <v>3970</v>
      </c>
    </row>
    <row r="11" spans="1:3" ht="21" customHeight="1">
      <c r="A11" s="5" t="s">
        <v>3971</v>
      </c>
      <c r="B11" s="5" t="s">
        <v>3972</v>
      </c>
      <c r="C11" s="5" t="s">
        <v>3973</v>
      </c>
    </row>
    <row r="12" spans="1:3" ht="21" customHeight="1">
      <c r="A12" s="5" t="s">
        <v>3974</v>
      </c>
      <c r="B12" s="5" t="s">
        <v>3975</v>
      </c>
      <c r="C12" s="5" t="s">
        <v>3976</v>
      </c>
    </row>
    <row r="13" spans="1:3" ht="21" customHeight="1">
      <c r="A13" s="5" t="s">
        <v>3977</v>
      </c>
      <c r="B13" s="5" t="s">
        <v>3978</v>
      </c>
      <c r="C13" s="5" t="s">
        <v>3979</v>
      </c>
    </row>
    <row r="14" spans="1:3" ht="21" customHeight="1">
      <c r="A14" s="5" t="s">
        <v>3980</v>
      </c>
      <c r="B14" s="5" t="s">
        <v>3981</v>
      </c>
      <c r="C14" s="5" t="s">
        <v>3982</v>
      </c>
    </row>
    <row r="15" spans="1:3" ht="21" customHeight="1">
      <c r="A15" s="5" t="s">
        <v>3983</v>
      </c>
      <c r="B15" s="5" t="s">
        <v>3984</v>
      </c>
      <c r="C15" s="5" t="s">
        <v>3985</v>
      </c>
    </row>
    <row r="16" spans="1:3" ht="21" customHeight="1">
      <c r="A16" s="5" t="s">
        <v>3986</v>
      </c>
      <c r="B16" s="5" t="s">
        <v>3987</v>
      </c>
      <c r="C16" s="5" t="s">
        <v>3988</v>
      </c>
    </row>
    <row r="17" spans="1:3" ht="21" customHeight="1">
      <c r="A17" s="5" t="s">
        <v>3989</v>
      </c>
      <c r="B17" s="5" t="s">
        <v>3990</v>
      </c>
      <c r="C17" s="5" t="s">
        <v>3991</v>
      </c>
    </row>
    <row r="18" spans="1:3" ht="21" customHeight="1">
      <c r="A18" s="5" t="s">
        <v>3992</v>
      </c>
      <c r="B18" s="5" t="s">
        <v>3993</v>
      </c>
      <c r="C18" s="5" t="s">
        <v>3994</v>
      </c>
    </row>
    <row r="19" spans="1:3" ht="21" customHeight="1">
      <c r="A19" s="5" t="s">
        <v>3995</v>
      </c>
      <c r="B19" s="5" t="s">
        <v>3996</v>
      </c>
      <c r="C19" s="5" t="s">
        <v>3997</v>
      </c>
    </row>
    <row r="20" spans="1:3" ht="21" customHeight="1">
      <c r="A20" s="5" t="s">
        <v>3998</v>
      </c>
      <c r="B20" s="5" t="s">
        <v>3999</v>
      </c>
      <c r="C20" s="5" t="s">
        <v>4000</v>
      </c>
    </row>
  </sheetData>
  <mergeCells count="2">
    <mergeCell ref="A1:C1"/>
    <mergeCell ref="A2:C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/>
  </sheetViews>
  <sheetFormatPr defaultRowHeight="13.5"/>
  <cols>
    <col min="1" max="1" width="30" customWidth="1"/>
    <col min="2" max="2" width="48" customWidth="1"/>
    <col min="3" max="4" width="45" customWidth="1"/>
    <col min="5" max="5" width="38" customWidth="1"/>
    <col min="6" max="6" width="45" customWidth="1"/>
  </cols>
  <sheetData>
    <row r="1" spans="1:6" ht="15" customHeight="1">
      <c r="A1" s="7" t="s">
        <v>4001</v>
      </c>
      <c r="B1" s="7"/>
      <c r="C1" s="7"/>
      <c r="D1" s="7"/>
      <c r="E1" s="7"/>
      <c r="F1" s="7"/>
    </row>
    <row r="2" spans="1:6" ht="11.55" customHeight="1">
      <c r="A2" s="8" t="s">
        <v>4002</v>
      </c>
      <c r="B2" s="8"/>
      <c r="C2" s="8"/>
      <c r="D2" s="8"/>
      <c r="E2" s="8"/>
      <c r="F2" s="8"/>
    </row>
    <row r="3" spans="1:6" ht="18" customHeight="1">
      <c r="A3" s="1" t="s">
        <v>4003</v>
      </c>
      <c r="B3" s="1" t="s">
        <v>4004</v>
      </c>
      <c r="C3" s="1" t="s">
        <v>4005</v>
      </c>
      <c r="D3" s="1" t="s">
        <v>4006</v>
      </c>
      <c r="E3" s="1" t="s">
        <v>4007</v>
      </c>
      <c r="F3" s="1" t="s">
        <v>4008</v>
      </c>
    </row>
    <row r="4" spans="1:6" ht="21" customHeight="1">
      <c r="A4" s="5" t="s">
        <v>4009</v>
      </c>
      <c r="B4" s="5" t="s">
        <v>4010</v>
      </c>
      <c r="C4" s="5" t="s">
        <v>4011</v>
      </c>
      <c r="D4" s="5" t="s">
        <v>4012</v>
      </c>
      <c r="E4" s="5" t="s">
        <v>4013</v>
      </c>
      <c r="F4" s="5" t="s">
        <v>4014</v>
      </c>
    </row>
    <row r="5" spans="1:6" ht="21" customHeight="1">
      <c r="A5" s="5" t="s">
        <v>4015</v>
      </c>
      <c r="B5" s="5" t="s">
        <v>4016</v>
      </c>
      <c r="C5" s="5" t="s">
        <v>4017</v>
      </c>
      <c r="D5" s="5" t="s">
        <v>4018</v>
      </c>
      <c r="E5" s="5" t="s">
        <v>4019</v>
      </c>
      <c r="F5" s="5" t="s">
        <v>4020</v>
      </c>
    </row>
    <row r="6" spans="1:6" ht="21" customHeight="1">
      <c r="A6" s="5" t="s">
        <v>4021</v>
      </c>
      <c r="B6" s="5" t="s">
        <v>4022</v>
      </c>
      <c r="C6" s="5" t="s">
        <v>4023</v>
      </c>
      <c r="D6" s="5" t="s">
        <v>4024</v>
      </c>
      <c r="E6" s="5" t="s">
        <v>4025</v>
      </c>
      <c r="F6" s="5" t="s">
        <v>4026</v>
      </c>
    </row>
    <row r="7" spans="1:6" ht="21" customHeight="1">
      <c r="A7" s="5" t="s">
        <v>4027</v>
      </c>
      <c r="B7" s="5" t="s">
        <v>4028</v>
      </c>
      <c r="C7" s="5" t="s">
        <v>4029</v>
      </c>
      <c r="D7" s="5" t="s">
        <v>4030</v>
      </c>
      <c r="E7" s="5" t="s">
        <v>4031</v>
      </c>
      <c r="F7" s="5" t="s">
        <v>4032</v>
      </c>
    </row>
    <row r="8" spans="1:6" ht="21" customHeight="1">
      <c r="A8" s="5" t="s">
        <v>4033</v>
      </c>
      <c r="B8" s="5" t="s">
        <v>4034</v>
      </c>
      <c r="C8" s="5" t="s">
        <v>4035</v>
      </c>
      <c r="D8" s="5" t="s">
        <v>4036</v>
      </c>
      <c r="E8" s="5" t="s">
        <v>4037</v>
      </c>
      <c r="F8" s="5" t="s">
        <v>4038</v>
      </c>
    </row>
    <row r="9" spans="1:6" ht="21" customHeight="1">
      <c r="A9" s="5" t="s">
        <v>4039</v>
      </c>
      <c r="B9" s="5" t="s">
        <v>4040</v>
      </c>
      <c r="C9" s="5" t="s">
        <v>4041</v>
      </c>
      <c r="D9" s="5" t="s">
        <v>4042</v>
      </c>
      <c r="E9" s="5" t="s">
        <v>4043</v>
      </c>
      <c r="F9" s="5" t="s">
        <v>4044</v>
      </c>
    </row>
    <row r="10" spans="1:6" ht="21" customHeight="1">
      <c r="A10" s="5" t="s">
        <v>4045</v>
      </c>
      <c r="B10" s="5" t="s">
        <v>4046</v>
      </c>
      <c r="C10" s="5" t="s">
        <v>4047</v>
      </c>
      <c r="D10" s="5" t="s">
        <v>4048</v>
      </c>
      <c r="E10" s="5" t="s">
        <v>4049</v>
      </c>
      <c r="F10" s="5" t="s">
        <v>4050</v>
      </c>
    </row>
    <row r="11" spans="1:6" ht="21" customHeight="1">
      <c r="A11" s="5" t="s">
        <v>4051</v>
      </c>
      <c r="B11" s="5" t="s">
        <v>4052</v>
      </c>
      <c r="C11" s="5" t="s">
        <v>4053</v>
      </c>
      <c r="D11" s="5" t="s">
        <v>4054</v>
      </c>
      <c r="E11" s="5" t="s">
        <v>4055</v>
      </c>
      <c r="F11" s="5" t="s">
        <v>4056</v>
      </c>
    </row>
    <row r="12" spans="1:6" ht="21" customHeight="1">
      <c r="A12" s="5" t="s">
        <v>4057</v>
      </c>
      <c r="B12" s="5" t="s">
        <v>4058</v>
      </c>
      <c r="C12" s="5" t="s">
        <v>4059</v>
      </c>
      <c r="D12" s="5" t="s">
        <v>4060</v>
      </c>
      <c r="E12" s="5" t="s">
        <v>4061</v>
      </c>
      <c r="F12" s="5" t="s">
        <v>4062</v>
      </c>
    </row>
    <row r="13" spans="1:6" ht="21" customHeight="1">
      <c r="A13" s="5" t="s">
        <v>4063</v>
      </c>
      <c r="B13" s="5" t="s">
        <v>4064</v>
      </c>
      <c r="C13" s="5" t="s">
        <v>4065</v>
      </c>
      <c r="D13" s="5" t="s">
        <v>4066</v>
      </c>
      <c r="E13" s="5" t="s">
        <v>4067</v>
      </c>
      <c r="F13" s="5" t="s">
        <v>4068</v>
      </c>
    </row>
    <row r="14" spans="1:6" ht="21" customHeight="1">
      <c r="A14" s="5" t="s">
        <v>4069</v>
      </c>
      <c r="B14" s="5" t="s">
        <v>4070</v>
      </c>
      <c r="C14" s="5" t="s">
        <v>4071</v>
      </c>
      <c r="D14" s="5" t="s">
        <v>4072</v>
      </c>
      <c r="E14" s="5" t="s">
        <v>4073</v>
      </c>
      <c r="F14" s="5" t="s">
        <v>4074</v>
      </c>
    </row>
    <row r="15" spans="1:6" ht="21" customHeight="1">
      <c r="A15" s="5" t="s">
        <v>4075</v>
      </c>
      <c r="B15" s="5" t="s">
        <v>4076</v>
      </c>
      <c r="C15" s="5" t="s">
        <v>4077</v>
      </c>
      <c r="D15" s="5" t="s">
        <v>4078</v>
      </c>
      <c r="E15" s="5" t="s">
        <v>4079</v>
      </c>
      <c r="F15" s="5" t="s">
        <v>4080</v>
      </c>
    </row>
    <row r="16" spans="1:6" ht="21" customHeight="1">
      <c r="A16" s="5" t="s">
        <v>4081</v>
      </c>
      <c r="B16" s="5" t="s">
        <v>4082</v>
      </c>
      <c r="C16" s="5" t="s">
        <v>4083</v>
      </c>
      <c r="D16" s="5" t="s">
        <v>4084</v>
      </c>
      <c r="E16" s="5" t="s">
        <v>4085</v>
      </c>
      <c r="F16" s="5" t="s">
        <v>4086</v>
      </c>
    </row>
    <row r="17" spans="1:6" ht="21" customHeight="1">
      <c r="A17" s="5" t="s">
        <v>4087</v>
      </c>
      <c r="B17" s="5" t="s">
        <v>4088</v>
      </c>
      <c r="C17" s="5" t="s">
        <v>4089</v>
      </c>
      <c r="D17" s="5" t="s">
        <v>4090</v>
      </c>
      <c r="E17" s="5" t="s">
        <v>4091</v>
      </c>
      <c r="F17" s="5" t="s">
        <v>4092</v>
      </c>
    </row>
    <row r="18" spans="1:6" ht="21" customHeight="1">
      <c r="A18" s="5" t="s">
        <v>4093</v>
      </c>
      <c r="B18" s="5" t="s">
        <v>4094</v>
      </c>
      <c r="C18" s="5" t="s">
        <v>4095</v>
      </c>
      <c r="D18" s="5" t="s">
        <v>4096</v>
      </c>
      <c r="E18" s="5" t="s">
        <v>4097</v>
      </c>
      <c r="F18" s="5" t="s">
        <v>4098</v>
      </c>
    </row>
    <row r="19" spans="1:6" ht="21" customHeight="1">
      <c r="A19" s="5" t="s">
        <v>4099</v>
      </c>
      <c r="B19" s="5" t="s">
        <v>4100</v>
      </c>
      <c r="C19" s="5" t="s">
        <v>4101</v>
      </c>
      <c r="D19" s="5" t="s">
        <v>4102</v>
      </c>
      <c r="E19" s="5" t="s">
        <v>4103</v>
      </c>
      <c r="F19" s="5" t="s">
        <v>4104</v>
      </c>
    </row>
    <row r="20" spans="1:6" ht="21" customHeight="1">
      <c r="A20" s="5" t="s">
        <v>4105</v>
      </c>
      <c r="B20" s="5" t="s">
        <v>4106</v>
      </c>
      <c r="C20" s="5" t="s">
        <v>4107</v>
      </c>
      <c r="D20" s="5" t="s">
        <v>4108</v>
      </c>
      <c r="E20" s="5" t="s">
        <v>4109</v>
      </c>
      <c r="F20" s="5" t="s">
        <v>4110</v>
      </c>
    </row>
    <row r="21" spans="1:6" ht="21" customHeight="1">
      <c r="A21" s="5" t="s">
        <v>4111</v>
      </c>
      <c r="B21" s="5" t="s">
        <v>4112</v>
      </c>
      <c r="C21" s="5" t="s">
        <v>4113</v>
      </c>
      <c r="D21" s="5" t="s">
        <v>4114</v>
      </c>
      <c r="E21" s="5" t="s">
        <v>4115</v>
      </c>
      <c r="F21" s="5" t="s">
        <v>4116</v>
      </c>
    </row>
    <row r="22" spans="1:6" ht="21" customHeight="1">
      <c r="A22" s="5" t="s">
        <v>4117</v>
      </c>
      <c r="B22" s="5" t="s">
        <v>4118</v>
      </c>
      <c r="C22" s="5" t="s">
        <v>4119</v>
      </c>
      <c r="D22" s="5" t="s">
        <v>4120</v>
      </c>
      <c r="E22" s="5" t="s">
        <v>4121</v>
      </c>
      <c r="F22" s="5" t="s">
        <v>4122</v>
      </c>
    </row>
    <row r="23" spans="1:6" ht="21" customHeight="1">
      <c r="A23" s="5" t="s">
        <v>4123</v>
      </c>
      <c r="B23" s="5" t="s">
        <v>4124</v>
      </c>
      <c r="C23" s="5" t="s">
        <v>4125</v>
      </c>
      <c r="D23" s="5" t="s">
        <v>4126</v>
      </c>
      <c r="E23" s="5" t="s">
        <v>4127</v>
      </c>
      <c r="F23" s="5" t="s">
        <v>4128</v>
      </c>
    </row>
    <row r="24" spans="1:6" ht="21" customHeight="1">
      <c r="A24" s="5" t="s">
        <v>4129</v>
      </c>
      <c r="B24" s="5" t="s">
        <v>4130</v>
      </c>
      <c r="C24" s="5" t="s">
        <v>4131</v>
      </c>
      <c r="D24" s="5" t="s">
        <v>4132</v>
      </c>
      <c r="E24" s="5" t="s">
        <v>4133</v>
      </c>
      <c r="F24" s="5" t="s">
        <v>4134</v>
      </c>
    </row>
  </sheetData>
  <mergeCells count="2">
    <mergeCell ref="A1:F1"/>
    <mergeCell ref="A2:F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3.5"/>
  <cols>
    <col min="1" max="1" width="18" customWidth="1"/>
    <col min="2" max="2" width="60" customWidth="1"/>
    <col min="3" max="3" width="55" customWidth="1"/>
    <col min="4" max="4" width="58" customWidth="1"/>
    <col min="5" max="5" width="20" customWidth="1"/>
  </cols>
  <sheetData>
    <row r="1" spans="1:5" ht="15" customHeight="1">
      <c r="A1" s="7" t="s">
        <v>4135</v>
      </c>
      <c r="B1" s="7"/>
      <c r="C1" s="7"/>
      <c r="D1" s="7"/>
      <c r="E1" s="7"/>
    </row>
    <row r="2" spans="1:5" ht="11.55" customHeight="1">
      <c r="A2" s="8" t="s">
        <v>4136</v>
      </c>
      <c r="B2" s="8"/>
      <c r="C2" s="8"/>
      <c r="D2" s="8"/>
      <c r="E2" s="8"/>
    </row>
    <row r="3" spans="1:5" ht="18" customHeight="1">
      <c r="A3" s="1" t="s">
        <v>4137</v>
      </c>
      <c r="B3" s="1" t="s">
        <v>4138</v>
      </c>
      <c r="C3" s="1" t="s">
        <v>4139</v>
      </c>
      <c r="D3" s="1" t="s">
        <v>4140</v>
      </c>
      <c r="E3" s="1" t="s">
        <v>4141</v>
      </c>
    </row>
    <row r="4" spans="1:5" ht="21" customHeight="1">
      <c r="A4" s="5" t="s">
        <v>4142</v>
      </c>
      <c r="B4" s="5" t="s">
        <v>4143</v>
      </c>
      <c r="C4" s="5" t="s">
        <v>4144</v>
      </c>
      <c r="D4" s="5" t="s">
        <v>4145</v>
      </c>
      <c r="E4" s="5" t="s">
        <v>4146</v>
      </c>
    </row>
    <row r="5" spans="1:5" ht="21" customHeight="1">
      <c r="A5" s="5" t="s">
        <v>4147</v>
      </c>
      <c r="B5" s="5" t="s">
        <v>4148</v>
      </c>
      <c r="C5" s="5" t="s">
        <v>4149</v>
      </c>
      <c r="D5" s="5" t="s">
        <v>4150</v>
      </c>
      <c r="E5" s="5" t="s">
        <v>4146</v>
      </c>
    </row>
    <row r="6" spans="1:5" ht="21" customHeight="1">
      <c r="A6" s="5" t="s">
        <v>4151</v>
      </c>
      <c r="B6" s="5" t="s">
        <v>4152</v>
      </c>
      <c r="C6" s="5" t="s">
        <v>4153</v>
      </c>
      <c r="D6" s="5" t="s">
        <v>4154</v>
      </c>
      <c r="E6" s="5" t="s">
        <v>4146</v>
      </c>
    </row>
    <row r="7" spans="1:5" ht="21" customHeight="1">
      <c r="A7" s="5" t="s">
        <v>4155</v>
      </c>
      <c r="B7" s="5" t="s">
        <v>4156</v>
      </c>
      <c r="C7" s="5" t="s">
        <v>4157</v>
      </c>
      <c r="D7" s="5" t="s">
        <v>4158</v>
      </c>
      <c r="E7" s="5" t="s">
        <v>4159</v>
      </c>
    </row>
    <row r="8" spans="1:5" ht="21" customHeight="1">
      <c r="A8" s="5" t="s">
        <v>4160</v>
      </c>
      <c r="B8" s="5" t="s">
        <v>4161</v>
      </c>
      <c r="C8" s="5" t="s">
        <v>4162</v>
      </c>
      <c r="D8" s="5" t="s">
        <v>4163</v>
      </c>
      <c r="E8" s="5" t="s">
        <v>4164</v>
      </c>
    </row>
  </sheetData>
  <mergeCells count="2">
    <mergeCell ref="A1:E1"/>
    <mergeCell ref="A2:E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5"/>
  <sheetViews>
    <sheetView workbookViewId="0"/>
  </sheetViews>
  <sheetFormatPr defaultRowHeight="13.5"/>
  <cols>
    <col min="1" max="1" width="10" customWidth="1"/>
    <col min="2" max="2" width="25" customWidth="1"/>
    <col min="3" max="3" width="68" customWidth="1"/>
    <col min="4" max="4" width="13" customWidth="1"/>
    <col min="5" max="5" width="10" customWidth="1"/>
    <col min="6" max="6" width="9" customWidth="1"/>
    <col min="7" max="7" width="18" customWidth="1"/>
    <col min="8" max="8" width="21" customWidth="1"/>
    <col min="9" max="9" width="11" customWidth="1"/>
    <col min="10" max="10" width="16" customWidth="1"/>
    <col min="11" max="11" width="38" customWidth="1"/>
  </cols>
  <sheetData>
    <row r="1" spans="1:11" ht="15" customHeight="1">
      <c r="A1" s="7" t="s">
        <v>4165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1.55" customHeight="1">
      <c r="A2" s="8" t="s">
        <v>4166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>
      <c r="A3" s="1" t="s">
        <v>33</v>
      </c>
      <c r="B3" s="1" t="s">
        <v>13</v>
      </c>
      <c r="C3" s="1" t="s">
        <v>4167</v>
      </c>
      <c r="D3" s="1" t="s">
        <v>52</v>
      </c>
      <c r="E3" s="1" t="s">
        <v>11</v>
      </c>
      <c r="F3" s="1" t="s">
        <v>38</v>
      </c>
      <c r="G3" s="1" t="s">
        <v>39</v>
      </c>
      <c r="H3" s="1" t="s">
        <v>48</v>
      </c>
      <c r="I3" s="1" t="s">
        <v>4168</v>
      </c>
      <c r="J3" s="1" t="s">
        <v>4169</v>
      </c>
      <c r="K3" s="1" t="s">
        <v>4170</v>
      </c>
    </row>
    <row r="4" spans="1:11" ht="19.05" customHeight="1">
      <c r="A4" s="5" t="s">
        <v>54</v>
      </c>
      <c r="B4" s="5" t="s">
        <v>15</v>
      </c>
      <c r="C4" s="5" t="s">
        <v>4171</v>
      </c>
      <c r="D4" s="5" t="s">
        <v>72</v>
      </c>
      <c r="E4" s="5" t="s">
        <v>18</v>
      </c>
      <c r="F4" s="5" t="s">
        <v>16</v>
      </c>
      <c r="G4" s="5" t="s">
        <v>59</v>
      </c>
      <c r="H4" s="5" t="s">
        <v>68</v>
      </c>
      <c r="I4" s="5">
        <v>0</v>
      </c>
      <c r="J4" s="6"/>
      <c r="K4" s="5"/>
    </row>
    <row r="5" spans="1:11" ht="19.05" customHeight="1">
      <c r="A5" s="5" t="s">
        <v>73</v>
      </c>
      <c r="B5" s="5" t="s">
        <v>15</v>
      </c>
      <c r="C5" s="5" t="s">
        <v>4172</v>
      </c>
      <c r="D5" s="5" t="s">
        <v>72</v>
      </c>
      <c r="E5" s="5" t="s">
        <v>14</v>
      </c>
      <c r="F5" s="5" t="s">
        <v>16</v>
      </c>
      <c r="G5" s="5" t="s">
        <v>77</v>
      </c>
      <c r="H5" s="5" t="s">
        <v>86</v>
      </c>
      <c r="I5" s="5">
        <v>0</v>
      </c>
      <c r="J5" s="6"/>
      <c r="K5" s="5"/>
    </row>
    <row r="6" spans="1:11" ht="19.05" customHeight="1">
      <c r="A6" s="5" t="s">
        <v>89</v>
      </c>
      <c r="B6" s="5" t="s">
        <v>15</v>
      </c>
      <c r="C6" s="5" t="s">
        <v>4173</v>
      </c>
      <c r="D6" s="5" t="s">
        <v>72</v>
      </c>
      <c r="E6" s="5" t="s">
        <v>14</v>
      </c>
      <c r="F6" s="5" t="s">
        <v>16</v>
      </c>
      <c r="G6" s="5" t="s">
        <v>77</v>
      </c>
      <c r="H6" s="5" t="s">
        <v>99</v>
      </c>
      <c r="I6" s="5">
        <v>0</v>
      </c>
      <c r="J6" s="6"/>
      <c r="K6" s="5"/>
    </row>
    <row r="7" spans="1:11" ht="19.05" customHeight="1">
      <c r="A7" s="5" t="s">
        <v>102</v>
      </c>
      <c r="B7" s="5" t="s">
        <v>15</v>
      </c>
      <c r="C7" s="5" t="s">
        <v>4174</v>
      </c>
      <c r="D7" s="5" t="s">
        <v>72</v>
      </c>
      <c r="E7" s="5" t="s">
        <v>16</v>
      </c>
      <c r="F7" s="5" t="s">
        <v>16</v>
      </c>
      <c r="G7" s="5" t="s">
        <v>77</v>
      </c>
      <c r="H7" s="5" t="s">
        <v>113</v>
      </c>
      <c r="I7" s="5">
        <v>0</v>
      </c>
      <c r="J7" s="6"/>
      <c r="K7" s="5"/>
    </row>
    <row r="8" spans="1:11" ht="19.05" customHeight="1">
      <c r="A8" s="5" t="s">
        <v>116</v>
      </c>
      <c r="B8" s="5" t="s">
        <v>15</v>
      </c>
      <c r="C8" s="5" t="s">
        <v>4175</v>
      </c>
      <c r="D8" s="5" t="s">
        <v>72</v>
      </c>
      <c r="E8" s="5" t="s">
        <v>18</v>
      </c>
      <c r="F8" s="5" t="s">
        <v>16</v>
      </c>
      <c r="G8" s="5" t="s">
        <v>77</v>
      </c>
      <c r="H8" s="5" t="s">
        <v>126</v>
      </c>
      <c r="I8" s="5">
        <v>0</v>
      </c>
      <c r="J8" s="6"/>
      <c r="K8" s="5"/>
    </row>
    <row r="9" spans="1:11" ht="19.05" customHeight="1">
      <c r="A9" s="5" t="s">
        <v>129</v>
      </c>
      <c r="B9" s="5" t="s">
        <v>15</v>
      </c>
      <c r="C9" s="5" t="s">
        <v>4176</v>
      </c>
      <c r="D9" s="5" t="s">
        <v>72</v>
      </c>
      <c r="E9" s="5" t="s">
        <v>16</v>
      </c>
      <c r="F9" s="5" t="s">
        <v>18</v>
      </c>
      <c r="G9" s="5" t="s">
        <v>59</v>
      </c>
      <c r="H9" s="5" t="s">
        <v>139</v>
      </c>
      <c r="I9" s="5">
        <v>0</v>
      </c>
      <c r="J9" s="6"/>
      <c r="K9" s="5"/>
    </row>
    <row r="10" spans="1:11" ht="19.05" customHeight="1">
      <c r="A10" s="5" t="s">
        <v>141</v>
      </c>
      <c r="B10" s="5" t="s">
        <v>15</v>
      </c>
      <c r="C10" s="5" t="s">
        <v>4177</v>
      </c>
      <c r="D10" s="5" t="s">
        <v>72</v>
      </c>
      <c r="E10" s="5" t="s">
        <v>14</v>
      </c>
      <c r="F10" s="5" t="s">
        <v>16</v>
      </c>
      <c r="G10" s="5" t="s">
        <v>77</v>
      </c>
      <c r="H10" s="5" t="s">
        <v>153</v>
      </c>
      <c r="I10" s="5">
        <v>0</v>
      </c>
      <c r="J10" s="6"/>
      <c r="K10" s="5"/>
    </row>
    <row r="11" spans="1:11" ht="19.05" customHeight="1">
      <c r="A11" s="5" t="s">
        <v>155</v>
      </c>
      <c r="B11" s="5" t="s">
        <v>15</v>
      </c>
      <c r="C11" s="5" t="s">
        <v>4178</v>
      </c>
      <c r="D11" s="5" t="s">
        <v>72</v>
      </c>
      <c r="E11" s="5" t="s">
        <v>14</v>
      </c>
      <c r="F11" s="5" t="s">
        <v>16</v>
      </c>
      <c r="G11" s="5" t="s">
        <v>77</v>
      </c>
      <c r="H11" s="5" t="s">
        <v>167</v>
      </c>
      <c r="I11" s="5">
        <v>0</v>
      </c>
      <c r="J11" s="6"/>
      <c r="K11" s="5"/>
    </row>
    <row r="12" spans="1:11" ht="19.05" customHeight="1">
      <c r="A12" s="5" t="s">
        <v>170</v>
      </c>
      <c r="B12" s="5" t="s">
        <v>15</v>
      </c>
      <c r="C12" s="5" t="s">
        <v>4179</v>
      </c>
      <c r="D12" s="5" t="s">
        <v>72</v>
      </c>
      <c r="E12" s="5" t="s">
        <v>14</v>
      </c>
      <c r="F12" s="5" t="s">
        <v>16</v>
      </c>
      <c r="G12" s="5" t="s">
        <v>77</v>
      </c>
      <c r="H12" s="5" t="s">
        <v>180</v>
      </c>
      <c r="I12" s="5">
        <v>0</v>
      </c>
      <c r="J12" s="6"/>
      <c r="K12" s="5"/>
    </row>
    <row r="13" spans="1:11" ht="19.05" customHeight="1">
      <c r="A13" s="5" t="s">
        <v>182</v>
      </c>
      <c r="B13" s="5" t="s">
        <v>15</v>
      </c>
      <c r="C13" s="5" t="s">
        <v>4180</v>
      </c>
      <c r="D13" s="5" t="s">
        <v>72</v>
      </c>
      <c r="E13" s="5" t="s">
        <v>14</v>
      </c>
      <c r="F13" s="5" t="s">
        <v>16</v>
      </c>
      <c r="G13" s="5" t="s">
        <v>77</v>
      </c>
      <c r="H13" s="5" t="s">
        <v>193</v>
      </c>
      <c r="I13" s="5">
        <v>0</v>
      </c>
      <c r="J13" s="6"/>
      <c r="K13" s="5"/>
    </row>
    <row r="14" spans="1:11" ht="19.05" customHeight="1">
      <c r="A14" s="5" t="s">
        <v>195</v>
      </c>
      <c r="B14" s="5" t="s">
        <v>15</v>
      </c>
      <c r="C14" s="5" t="s">
        <v>4181</v>
      </c>
      <c r="D14" s="5" t="s">
        <v>72</v>
      </c>
      <c r="E14" s="5" t="s">
        <v>16</v>
      </c>
      <c r="F14" s="5" t="s">
        <v>16</v>
      </c>
      <c r="G14" s="5" t="s">
        <v>77</v>
      </c>
      <c r="H14" s="5" t="s">
        <v>139</v>
      </c>
      <c r="I14" s="5">
        <v>0</v>
      </c>
      <c r="J14" s="6"/>
      <c r="K14" s="5"/>
    </row>
    <row r="15" spans="1:11" ht="19.05" customHeight="1">
      <c r="A15" s="5" t="s">
        <v>207</v>
      </c>
      <c r="B15" s="5" t="s">
        <v>15</v>
      </c>
      <c r="C15" s="5" t="s">
        <v>4182</v>
      </c>
      <c r="D15" s="5" t="s">
        <v>72</v>
      </c>
      <c r="E15" s="5" t="s">
        <v>14</v>
      </c>
      <c r="F15" s="5" t="s">
        <v>16</v>
      </c>
      <c r="G15" s="5" t="s">
        <v>77</v>
      </c>
      <c r="H15" s="5" t="s">
        <v>218</v>
      </c>
      <c r="I15" s="5">
        <v>0</v>
      </c>
      <c r="J15" s="6"/>
      <c r="K15" s="5"/>
    </row>
    <row r="16" spans="1:11" ht="19.05" customHeight="1">
      <c r="A16" s="5" t="s">
        <v>220</v>
      </c>
      <c r="B16" s="5" t="s">
        <v>15</v>
      </c>
      <c r="C16" s="5" t="s">
        <v>4183</v>
      </c>
      <c r="D16" s="5" t="s">
        <v>72</v>
      </c>
      <c r="E16" s="5" t="s">
        <v>16</v>
      </c>
      <c r="F16" s="5" t="s">
        <v>18</v>
      </c>
      <c r="G16" s="5" t="s">
        <v>77</v>
      </c>
      <c r="H16" s="5" t="s">
        <v>230</v>
      </c>
      <c r="I16" s="5">
        <v>0</v>
      </c>
      <c r="J16" s="6"/>
      <c r="K16" s="5"/>
    </row>
    <row r="17" spans="1:11" ht="19.05" customHeight="1">
      <c r="A17" s="5" t="s">
        <v>232</v>
      </c>
      <c r="B17" s="5" t="s">
        <v>15</v>
      </c>
      <c r="C17" s="5" t="s">
        <v>4184</v>
      </c>
      <c r="D17" s="5" t="s">
        <v>72</v>
      </c>
      <c r="E17" s="5" t="s">
        <v>16</v>
      </c>
      <c r="F17" s="5" t="s">
        <v>16</v>
      </c>
      <c r="G17" s="5" t="s">
        <v>77</v>
      </c>
      <c r="H17" s="5" t="s">
        <v>243</v>
      </c>
      <c r="I17" s="5">
        <v>0</v>
      </c>
      <c r="J17" s="6"/>
      <c r="K17" s="5"/>
    </row>
    <row r="18" spans="1:11" ht="19.05" customHeight="1">
      <c r="A18" s="5" t="s">
        <v>245</v>
      </c>
      <c r="B18" s="5" t="s">
        <v>15</v>
      </c>
      <c r="C18" s="5" t="s">
        <v>4185</v>
      </c>
      <c r="D18" s="5" t="s">
        <v>72</v>
      </c>
      <c r="E18" s="5" t="s">
        <v>14</v>
      </c>
      <c r="F18" s="5" t="s">
        <v>16</v>
      </c>
      <c r="G18" s="5" t="s">
        <v>77</v>
      </c>
      <c r="H18" s="5" t="s">
        <v>255</v>
      </c>
      <c r="I18" s="5">
        <v>0</v>
      </c>
      <c r="J18" s="6"/>
      <c r="K18" s="5"/>
    </row>
    <row r="19" spans="1:11" ht="19.05" customHeight="1">
      <c r="A19" s="5" t="s">
        <v>257</v>
      </c>
      <c r="B19" s="5" t="s">
        <v>17</v>
      </c>
      <c r="C19" s="5" t="s">
        <v>4186</v>
      </c>
      <c r="D19" s="5" t="s">
        <v>72</v>
      </c>
      <c r="E19" s="5" t="s">
        <v>14</v>
      </c>
      <c r="F19" s="5" t="s">
        <v>16</v>
      </c>
      <c r="G19" s="5" t="s">
        <v>77</v>
      </c>
      <c r="H19" s="5" t="s">
        <v>268</v>
      </c>
      <c r="I19" s="5">
        <v>0</v>
      </c>
      <c r="J19" s="6"/>
      <c r="K19" s="5"/>
    </row>
    <row r="20" spans="1:11" ht="19.05" customHeight="1">
      <c r="A20" s="5" t="s">
        <v>271</v>
      </c>
      <c r="B20" s="5" t="s">
        <v>17</v>
      </c>
      <c r="C20" s="5" t="s">
        <v>4187</v>
      </c>
      <c r="D20" s="5" t="s">
        <v>72</v>
      </c>
      <c r="E20" s="5" t="s">
        <v>14</v>
      </c>
      <c r="F20" s="5" t="s">
        <v>16</v>
      </c>
      <c r="G20" s="5" t="s">
        <v>77</v>
      </c>
      <c r="H20" s="5" t="s">
        <v>280</v>
      </c>
      <c r="I20" s="5">
        <v>0</v>
      </c>
      <c r="J20" s="6"/>
      <c r="K20" s="5"/>
    </row>
    <row r="21" spans="1:11" ht="19.05" customHeight="1">
      <c r="A21" s="5" t="s">
        <v>282</v>
      </c>
      <c r="B21" s="5" t="s">
        <v>17</v>
      </c>
      <c r="C21" s="5" t="s">
        <v>4188</v>
      </c>
      <c r="D21" s="5" t="s">
        <v>72</v>
      </c>
      <c r="E21" s="5" t="s">
        <v>14</v>
      </c>
      <c r="F21" s="5" t="s">
        <v>16</v>
      </c>
      <c r="G21" s="5" t="s">
        <v>77</v>
      </c>
      <c r="H21" s="5" t="s">
        <v>293</v>
      </c>
      <c r="I21" s="5">
        <v>0</v>
      </c>
      <c r="J21" s="6"/>
      <c r="K21" s="5"/>
    </row>
    <row r="22" spans="1:11" ht="19.05" customHeight="1">
      <c r="A22" s="5" t="s">
        <v>295</v>
      </c>
      <c r="B22" s="5" t="s">
        <v>17</v>
      </c>
      <c r="C22" s="5" t="s">
        <v>4189</v>
      </c>
      <c r="D22" s="5" t="s">
        <v>72</v>
      </c>
      <c r="E22" s="5" t="s">
        <v>14</v>
      </c>
      <c r="F22" s="5" t="s">
        <v>16</v>
      </c>
      <c r="G22" s="5" t="s">
        <v>77</v>
      </c>
      <c r="H22" s="5" t="s">
        <v>305</v>
      </c>
      <c r="I22" s="5">
        <v>0</v>
      </c>
      <c r="J22" s="6"/>
      <c r="K22" s="5"/>
    </row>
    <row r="23" spans="1:11" ht="19.05" customHeight="1">
      <c r="A23" s="5" t="s">
        <v>307</v>
      </c>
      <c r="B23" s="5" t="s">
        <v>17</v>
      </c>
      <c r="C23" s="5" t="s">
        <v>4190</v>
      </c>
      <c r="D23" s="5" t="s">
        <v>72</v>
      </c>
      <c r="E23" s="5" t="s">
        <v>14</v>
      </c>
      <c r="F23" s="5" t="s">
        <v>16</v>
      </c>
      <c r="G23" s="5" t="s">
        <v>77</v>
      </c>
      <c r="H23" s="5" t="s">
        <v>318</v>
      </c>
      <c r="I23" s="5">
        <v>0</v>
      </c>
      <c r="J23" s="6"/>
      <c r="K23" s="5"/>
    </row>
    <row r="24" spans="1:11" ht="19.05" customHeight="1">
      <c r="A24" s="5" t="s">
        <v>320</v>
      </c>
      <c r="B24" s="5" t="s">
        <v>17</v>
      </c>
      <c r="C24" s="5" t="s">
        <v>4191</v>
      </c>
      <c r="D24" s="5" t="s">
        <v>72</v>
      </c>
      <c r="E24" s="5" t="s">
        <v>14</v>
      </c>
      <c r="F24" s="5" t="s">
        <v>16</v>
      </c>
      <c r="G24" s="5" t="s">
        <v>77</v>
      </c>
      <c r="H24" s="5" t="s">
        <v>167</v>
      </c>
      <c r="I24" s="5">
        <v>0</v>
      </c>
      <c r="J24" s="6"/>
      <c r="K24" s="5"/>
    </row>
    <row r="25" spans="1:11" ht="19.05" customHeight="1">
      <c r="A25" s="5" t="s">
        <v>331</v>
      </c>
      <c r="B25" s="5" t="s">
        <v>17</v>
      </c>
      <c r="C25" s="5" t="s">
        <v>4192</v>
      </c>
      <c r="D25" s="5" t="s">
        <v>72</v>
      </c>
      <c r="E25" s="5" t="s">
        <v>22</v>
      </c>
      <c r="F25" s="5" t="s">
        <v>20</v>
      </c>
      <c r="G25" s="5" t="s">
        <v>335</v>
      </c>
      <c r="H25" s="5" t="s">
        <v>344</v>
      </c>
      <c r="I25" s="5">
        <v>0</v>
      </c>
      <c r="J25" s="6"/>
      <c r="K25" s="5"/>
    </row>
    <row r="26" spans="1:11" ht="19.05" customHeight="1">
      <c r="A26" s="5" t="s">
        <v>348</v>
      </c>
      <c r="B26" s="5" t="s">
        <v>17</v>
      </c>
      <c r="C26" s="5" t="s">
        <v>4193</v>
      </c>
      <c r="D26" s="5" t="s">
        <v>72</v>
      </c>
      <c r="E26" s="5" t="s">
        <v>16</v>
      </c>
      <c r="F26" s="5" t="s">
        <v>16</v>
      </c>
      <c r="G26" s="5" t="s">
        <v>77</v>
      </c>
      <c r="H26" s="5" t="s">
        <v>358</v>
      </c>
      <c r="I26" s="5">
        <v>0</v>
      </c>
      <c r="J26" s="6"/>
      <c r="K26" s="5"/>
    </row>
    <row r="27" spans="1:11" ht="19.05" customHeight="1">
      <c r="A27" s="5" t="s">
        <v>361</v>
      </c>
      <c r="B27" s="5" t="s">
        <v>17</v>
      </c>
      <c r="C27" s="5" t="s">
        <v>4194</v>
      </c>
      <c r="D27" s="5" t="s">
        <v>72</v>
      </c>
      <c r="E27" s="5" t="s">
        <v>14</v>
      </c>
      <c r="F27" s="5" t="s">
        <v>16</v>
      </c>
      <c r="G27" s="5" t="s">
        <v>77</v>
      </c>
      <c r="H27" s="5" t="s">
        <v>139</v>
      </c>
      <c r="I27" s="5">
        <v>0</v>
      </c>
      <c r="J27" s="6"/>
      <c r="K27" s="5"/>
    </row>
    <row r="28" spans="1:11" ht="19.05" customHeight="1">
      <c r="A28" s="5" t="s">
        <v>373</v>
      </c>
      <c r="B28" s="5" t="s">
        <v>17</v>
      </c>
      <c r="C28" s="5" t="s">
        <v>4195</v>
      </c>
      <c r="D28" s="5" t="s">
        <v>72</v>
      </c>
      <c r="E28" s="5" t="s">
        <v>14</v>
      </c>
      <c r="F28" s="5" t="s">
        <v>16</v>
      </c>
      <c r="G28" s="5" t="s">
        <v>77</v>
      </c>
      <c r="H28" s="5" t="s">
        <v>382</v>
      </c>
      <c r="I28" s="5">
        <v>0</v>
      </c>
      <c r="J28" s="6"/>
      <c r="K28" s="5"/>
    </row>
    <row r="29" spans="1:11" ht="19.05" customHeight="1">
      <c r="A29" s="5" t="s">
        <v>384</v>
      </c>
      <c r="B29" s="5" t="s">
        <v>17</v>
      </c>
      <c r="C29" s="5" t="s">
        <v>4196</v>
      </c>
      <c r="D29" s="5" t="s">
        <v>72</v>
      </c>
      <c r="E29" s="5" t="s">
        <v>18</v>
      </c>
      <c r="F29" s="5" t="s">
        <v>18</v>
      </c>
      <c r="G29" s="5" t="s">
        <v>59</v>
      </c>
      <c r="H29" s="5" t="s">
        <v>393</v>
      </c>
      <c r="I29" s="5">
        <v>0</v>
      </c>
      <c r="J29" s="6"/>
      <c r="K29" s="5"/>
    </row>
    <row r="30" spans="1:11" ht="19.05" customHeight="1">
      <c r="A30" s="5" t="s">
        <v>396</v>
      </c>
      <c r="B30" s="5" t="s">
        <v>17</v>
      </c>
      <c r="C30" s="5" t="s">
        <v>4197</v>
      </c>
      <c r="D30" s="5" t="s">
        <v>72</v>
      </c>
      <c r="E30" s="5" t="s">
        <v>14</v>
      </c>
      <c r="F30" s="5" t="s">
        <v>16</v>
      </c>
      <c r="G30" s="5" t="s">
        <v>77</v>
      </c>
      <c r="H30" s="5" t="s">
        <v>406</v>
      </c>
      <c r="I30" s="5">
        <v>0</v>
      </c>
      <c r="J30" s="6"/>
      <c r="K30" s="5"/>
    </row>
    <row r="31" spans="1:11" ht="19.05" customHeight="1">
      <c r="A31" s="5" t="s">
        <v>409</v>
      </c>
      <c r="B31" s="5" t="s">
        <v>17</v>
      </c>
      <c r="C31" s="5" t="s">
        <v>4198</v>
      </c>
      <c r="D31" s="5" t="s">
        <v>72</v>
      </c>
      <c r="E31" s="5" t="s">
        <v>16</v>
      </c>
      <c r="F31" s="5" t="s">
        <v>18</v>
      </c>
      <c r="G31" s="5" t="s">
        <v>77</v>
      </c>
      <c r="H31" s="5" t="s">
        <v>419</v>
      </c>
      <c r="I31" s="5">
        <v>0</v>
      </c>
      <c r="J31" s="6"/>
      <c r="K31" s="5"/>
    </row>
    <row r="32" spans="1:11" ht="19.05" customHeight="1">
      <c r="A32" s="5" t="s">
        <v>421</v>
      </c>
      <c r="B32" s="5" t="s">
        <v>17</v>
      </c>
      <c r="C32" s="5" t="s">
        <v>4199</v>
      </c>
      <c r="D32" s="5" t="s">
        <v>72</v>
      </c>
      <c r="E32" s="5" t="s">
        <v>16</v>
      </c>
      <c r="F32" s="5" t="s">
        <v>18</v>
      </c>
      <c r="G32" s="5" t="s">
        <v>77</v>
      </c>
      <c r="H32" s="5" t="s">
        <v>431</v>
      </c>
      <c r="I32" s="5">
        <v>0</v>
      </c>
      <c r="J32" s="6"/>
      <c r="K32" s="5"/>
    </row>
    <row r="33" spans="1:11" ht="19.05" customHeight="1">
      <c r="A33" s="5" t="s">
        <v>434</v>
      </c>
      <c r="B33" s="5" t="s">
        <v>17</v>
      </c>
      <c r="C33" s="5" t="s">
        <v>4200</v>
      </c>
      <c r="D33" s="5" t="s">
        <v>72</v>
      </c>
      <c r="E33" s="5" t="s">
        <v>16</v>
      </c>
      <c r="F33" s="5" t="s">
        <v>20</v>
      </c>
      <c r="G33" s="5" t="s">
        <v>59</v>
      </c>
      <c r="H33" s="5" t="s">
        <v>445</v>
      </c>
      <c r="I33" s="5">
        <v>0</v>
      </c>
      <c r="J33" s="6"/>
      <c r="K33" s="5"/>
    </row>
    <row r="34" spans="1:11" ht="19.05" customHeight="1">
      <c r="A34" s="5" t="s">
        <v>448</v>
      </c>
      <c r="B34" s="5" t="s">
        <v>17</v>
      </c>
      <c r="C34" s="5" t="s">
        <v>4201</v>
      </c>
      <c r="D34" s="5" t="s">
        <v>72</v>
      </c>
      <c r="E34" s="5" t="s">
        <v>14</v>
      </c>
      <c r="F34" s="5" t="s">
        <v>16</v>
      </c>
      <c r="G34" s="5" t="s">
        <v>77</v>
      </c>
      <c r="H34" s="5" t="s">
        <v>458</v>
      </c>
      <c r="I34" s="5">
        <v>0</v>
      </c>
      <c r="J34" s="6"/>
      <c r="K34" s="5"/>
    </row>
    <row r="35" spans="1:11" ht="19.05" customHeight="1">
      <c r="A35" s="5" t="s">
        <v>460</v>
      </c>
      <c r="B35" s="5" t="s">
        <v>17</v>
      </c>
      <c r="C35" s="5" t="s">
        <v>4202</v>
      </c>
      <c r="D35" s="5" t="s">
        <v>72</v>
      </c>
      <c r="E35" s="5" t="s">
        <v>14</v>
      </c>
      <c r="F35" s="5" t="s">
        <v>16</v>
      </c>
      <c r="G35" s="5" t="s">
        <v>77</v>
      </c>
      <c r="H35" s="5" t="s">
        <v>471</v>
      </c>
      <c r="I35" s="5">
        <v>0</v>
      </c>
      <c r="J35" s="6"/>
      <c r="K35" s="5"/>
    </row>
    <row r="36" spans="1:11" ht="19.05" customHeight="1">
      <c r="A36" s="5" t="s">
        <v>473</v>
      </c>
      <c r="B36" s="5" t="s">
        <v>17</v>
      </c>
      <c r="C36" s="5" t="s">
        <v>4203</v>
      </c>
      <c r="D36" s="5" t="s">
        <v>72</v>
      </c>
      <c r="E36" s="5" t="s">
        <v>14</v>
      </c>
      <c r="F36" s="5" t="s">
        <v>16</v>
      </c>
      <c r="G36" s="5" t="s">
        <v>77</v>
      </c>
      <c r="H36" s="5" t="s">
        <v>482</v>
      </c>
      <c r="I36" s="5">
        <v>0</v>
      </c>
      <c r="J36" s="6"/>
      <c r="K36" s="5"/>
    </row>
    <row r="37" spans="1:11" ht="19.05" customHeight="1">
      <c r="A37" s="5" t="s">
        <v>484</v>
      </c>
      <c r="B37" s="5" t="s">
        <v>17</v>
      </c>
      <c r="C37" s="5" t="s">
        <v>4204</v>
      </c>
      <c r="D37" s="5" t="s">
        <v>72</v>
      </c>
      <c r="E37" s="5" t="s">
        <v>14</v>
      </c>
      <c r="F37" s="5" t="s">
        <v>18</v>
      </c>
      <c r="G37" s="5" t="s">
        <v>59</v>
      </c>
      <c r="H37" s="5" t="s">
        <v>494</v>
      </c>
      <c r="I37" s="5">
        <v>0</v>
      </c>
      <c r="J37" s="6"/>
      <c r="K37" s="5"/>
    </row>
    <row r="38" spans="1:11" ht="19.05" customHeight="1">
      <c r="A38" s="5" t="s">
        <v>497</v>
      </c>
      <c r="B38" s="5" t="s">
        <v>17</v>
      </c>
      <c r="C38" s="5" t="s">
        <v>4205</v>
      </c>
      <c r="D38" s="5" t="s">
        <v>72</v>
      </c>
      <c r="E38" s="5" t="s">
        <v>14</v>
      </c>
      <c r="F38" s="5" t="s">
        <v>18</v>
      </c>
      <c r="G38" s="5" t="s">
        <v>77</v>
      </c>
      <c r="H38" s="5" t="s">
        <v>508</v>
      </c>
      <c r="I38" s="5">
        <v>0</v>
      </c>
      <c r="J38" s="6"/>
      <c r="K38" s="5"/>
    </row>
    <row r="39" spans="1:11" ht="19.05" customHeight="1">
      <c r="A39" s="5" t="s">
        <v>511</v>
      </c>
      <c r="B39" s="5" t="s">
        <v>17</v>
      </c>
      <c r="C39" s="5" t="s">
        <v>4206</v>
      </c>
      <c r="D39" s="5" t="s">
        <v>72</v>
      </c>
      <c r="E39" s="5" t="s">
        <v>18</v>
      </c>
      <c r="F39" s="5" t="s">
        <v>20</v>
      </c>
      <c r="G39" s="5" t="s">
        <v>59</v>
      </c>
      <c r="H39" s="5" t="s">
        <v>520</v>
      </c>
      <c r="I39" s="5">
        <v>0</v>
      </c>
      <c r="J39" s="6"/>
      <c r="K39" s="5"/>
    </row>
    <row r="40" spans="1:11" ht="19.05" customHeight="1">
      <c r="A40" s="5" t="s">
        <v>523</v>
      </c>
      <c r="B40" s="5" t="s">
        <v>17</v>
      </c>
      <c r="C40" s="5" t="s">
        <v>4207</v>
      </c>
      <c r="D40" s="5" t="s">
        <v>72</v>
      </c>
      <c r="E40" s="5" t="s">
        <v>14</v>
      </c>
      <c r="F40" s="5" t="s">
        <v>16</v>
      </c>
      <c r="G40" s="5" t="s">
        <v>59</v>
      </c>
      <c r="H40" s="5" t="s">
        <v>535</v>
      </c>
      <c r="I40" s="5">
        <v>0</v>
      </c>
      <c r="J40" s="6"/>
      <c r="K40" s="5"/>
    </row>
    <row r="41" spans="1:11" ht="19.05" customHeight="1">
      <c r="A41" s="5" t="s">
        <v>537</v>
      </c>
      <c r="B41" s="5" t="s">
        <v>17</v>
      </c>
      <c r="C41" s="5" t="s">
        <v>4208</v>
      </c>
      <c r="D41" s="5" t="s">
        <v>72</v>
      </c>
      <c r="E41" s="5" t="s">
        <v>16</v>
      </c>
      <c r="F41" s="5" t="s">
        <v>18</v>
      </c>
      <c r="G41" s="5" t="s">
        <v>59</v>
      </c>
      <c r="H41" s="5" t="s">
        <v>547</v>
      </c>
      <c r="I41" s="5">
        <v>0</v>
      </c>
      <c r="J41" s="6"/>
      <c r="K41" s="5"/>
    </row>
    <row r="42" spans="1:11" ht="19.05" customHeight="1">
      <c r="A42" s="5" t="s">
        <v>550</v>
      </c>
      <c r="B42" s="5" t="s">
        <v>17</v>
      </c>
      <c r="C42" s="5" t="s">
        <v>4209</v>
      </c>
      <c r="D42" s="5" t="s">
        <v>72</v>
      </c>
      <c r="E42" s="5" t="s">
        <v>14</v>
      </c>
      <c r="F42" s="5" t="s">
        <v>16</v>
      </c>
      <c r="G42" s="5" t="s">
        <v>77</v>
      </c>
      <c r="H42" s="5" t="s">
        <v>305</v>
      </c>
      <c r="I42" s="5">
        <v>0</v>
      </c>
      <c r="J42" s="6"/>
      <c r="K42" s="5"/>
    </row>
    <row r="43" spans="1:11" ht="19.05" customHeight="1">
      <c r="A43" s="5" t="s">
        <v>562</v>
      </c>
      <c r="B43" s="5" t="s">
        <v>17</v>
      </c>
      <c r="C43" s="5" t="s">
        <v>4210</v>
      </c>
      <c r="D43" s="5" t="s">
        <v>72</v>
      </c>
      <c r="E43" s="5" t="s">
        <v>14</v>
      </c>
      <c r="F43" s="5" t="s">
        <v>16</v>
      </c>
      <c r="G43" s="5" t="s">
        <v>77</v>
      </c>
      <c r="H43" s="5" t="s">
        <v>572</v>
      </c>
      <c r="I43" s="5">
        <v>0</v>
      </c>
      <c r="J43" s="6"/>
      <c r="K43" s="5"/>
    </row>
    <row r="44" spans="1:11" ht="19.05" customHeight="1">
      <c r="A44" s="5" t="s">
        <v>574</v>
      </c>
      <c r="B44" s="5" t="s">
        <v>17</v>
      </c>
      <c r="C44" s="5" t="s">
        <v>4211</v>
      </c>
      <c r="D44" s="5" t="s">
        <v>72</v>
      </c>
      <c r="E44" s="5" t="s">
        <v>16</v>
      </c>
      <c r="F44" s="5" t="s">
        <v>16</v>
      </c>
      <c r="G44" s="5" t="s">
        <v>77</v>
      </c>
      <c r="H44" s="5" t="s">
        <v>139</v>
      </c>
      <c r="I44" s="5">
        <v>0</v>
      </c>
      <c r="J44" s="6"/>
      <c r="K44" s="5"/>
    </row>
    <row r="45" spans="1:11" ht="19.05" customHeight="1">
      <c r="A45" s="5" t="s">
        <v>584</v>
      </c>
      <c r="B45" s="5" t="s">
        <v>17</v>
      </c>
      <c r="C45" s="5" t="s">
        <v>4212</v>
      </c>
      <c r="D45" s="5" t="s">
        <v>72</v>
      </c>
      <c r="E45" s="5" t="s">
        <v>16</v>
      </c>
      <c r="F45" s="5" t="s">
        <v>16</v>
      </c>
      <c r="G45" s="5" t="s">
        <v>77</v>
      </c>
      <c r="H45" s="5" t="s">
        <v>593</v>
      </c>
      <c r="I45" s="5">
        <v>0</v>
      </c>
      <c r="J45" s="6"/>
      <c r="K45" s="5"/>
    </row>
    <row r="46" spans="1:11" ht="19.05" customHeight="1">
      <c r="A46" s="5" t="s">
        <v>595</v>
      </c>
      <c r="B46" s="5" t="s">
        <v>17</v>
      </c>
      <c r="C46" s="5" t="s">
        <v>4213</v>
      </c>
      <c r="D46" s="5" t="s">
        <v>72</v>
      </c>
      <c r="E46" s="5" t="s">
        <v>14</v>
      </c>
      <c r="F46" s="5" t="s">
        <v>16</v>
      </c>
      <c r="G46" s="5" t="s">
        <v>77</v>
      </c>
      <c r="H46" s="5" t="s">
        <v>606</v>
      </c>
      <c r="I46" s="5">
        <v>0</v>
      </c>
      <c r="J46" s="6"/>
      <c r="K46" s="5"/>
    </row>
    <row r="47" spans="1:11" ht="19.05" customHeight="1">
      <c r="A47" s="5" t="s">
        <v>608</v>
      </c>
      <c r="B47" s="5" t="s">
        <v>17</v>
      </c>
      <c r="C47" s="5" t="s">
        <v>4214</v>
      </c>
      <c r="D47" s="5" t="s">
        <v>72</v>
      </c>
      <c r="E47" s="5" t="s">
        <v>16</v>
      </c>
      <c r="F47" s="5" t="s">
        <v>18</v>
      </c>
      <c r="G47" s="5" t="s">
        <v>77</v>
      </c>
      <c r="H47" s="5" t="s">
        <v>618</v>
      </c>
      <c r="I47" s="5">
        <v>0</v>
      </c>
      <c r="J47" s="6"/>
      <c r="K47" s="5"/>
    </row>
    <row r="48" spans="1:11" ht="19.05" customHeight="1">
      <c r="A48" s="5" t="s">
        <v>620</v>
      </c>
      <c r="B48" s="5" t="s">
        <v>17</v>
      </c>
      <c r="C48" s="5" t="s">
        <v>4215</v>
      </c>
      <c r="D48" s="5" t="s">
        <v>72</v>
      </c>
      <c r="E48" s="5" t="s">
        <v>22</v>
      </c>
      <c r="F48" s="5" t="s">
        <v>20</v>
      </c>
      <c r="G48" s="5" t="s">
        <v>623</v>
      </c>
      <c r="H48" s="5" t="s">
        <v>632</v>
      </c>
      <c r="I48" s="5">
        <v>0</v>
      </c>
      <c r="J48" s="6"/>
      <c r="K48" s="5"/>
    </row>
    <row r="49" spans="1:11" ht="19.05" customHeight="1">
      <c r="A49" s="5" t="s">
        <v>636</v>
      </c>
      <c r="B49" s="5" t="s">
        <v>19</v>
      </c>
      <c r="C49" s="5" t="s">
        <v>4216</v>
      </c>
      <c r="D49" s="5" t="s">
        <v>72</v>
      </c>
      <c r="E49" s="5" t="s">
        <v>14</v>
      </c>
      <c r="F49" s="5" t="s">
        <v>18</v>
      </c>
      <c r="G49" s="5" t="s">
        <v>77</v>
      </c>
      <c r="H49" s="5" t="s">
        <v>648</v>
      </c>
      <c r="I49" s="5">
        <v>0</v>
      </c>
      <c r="J49" s="6"/>
      <c r="K49" s="5"/>
    </row>
    <row r="50" spans="1:11" ht="19.05" customHeight="1">
      <c r="A50" s="5" t="s">
        <v>651</v>
      </c>
      <c r="B50" s="5" t="s">
        <v>19</v>
      </c>
      <c r="C50" s="5" t="s">
        <v>4217</v>
      </c>
      <c r="D50" s="5" t="s">
        <v>72</v>
      </c>
      <c r="E50" s="5" t="s">
        <v>14</v>
      </c>
      <c r="F50" s="5" t="s">
        <v>18</v>
      </c>
      <c r="G50" s="5" t="s">
        <v>77</v>
      </c>
      <c r="H50" s="5" t="s">
        <v>660</v>
      </c>
      <c r="I50" s="5">
        <v>0</v>
      </c>
      <c r="J50" s="6"/>
      <c r="K50" s="5"/>
    </row>
    <row r="51" spans="1:11" ht="19.05" customHeight="1">
      <c r="A51" s="5" t="s">
        <v>662</v>
      </c>
      <c r="B51" s="5" t="s">
        <v>19</v>
      </c>
      <c r="C51" s="5" t="s">
        <v>4218</v>
      </c>
      <c r="D51" s="5" t="s">
        <v>72</v>
      </c>
      <c r="E51" s="5" t="s">
        <v>18</v>
      </c>
      <c r="F51" s="5" t="s">
        <v>20</v>
      </c>
      <c r="G51" s="5" t="s">
        <v>77</v>
      </c>
      <c r="H51" s="5" t="s">
        <v>672</v>
      </c>
      <c r="I51" s="5">
        <v>0</v>
      </c>
      <c r="J51" s="6"/>
      <c r="K51" s="5"/>
    </row>
    <row r="52" spans="1:11" ht="19.05" customHeight="1">
      <c r="A52" s="5" t="s">
        <v>675</v>
      </c>
      <c r="B52" s="5" t="s">
        <v>19</v>
      </c>
      <c r="C52" s="5" t="s">
        <v>4219</v>
      </c>
      <c r="D52" s="5" t="s">
        <v>72</v>
      </c>
      <c r="E52" s="5" t="s">
        <v>14</v>
      </c>
      <c r="F52" s="5" t="s">
        <v>20</v>
      </c>
      <c r="G52" s="5" t="s">
        <v>59</v>
      </c>
      <c r="H52" s="5" t="s">
        <v>685</v>
      </c>
      <c r="I52" s="5">
        <v>0</v>
      </c>
      <c r="J52" s="6"/>
      <c r="K52" s="5"/>
    </row>
    <row r="53" spans="1:11" ht="19.05" customHeight="1">
      <c r="A53" s="5" t="s">
        <v>689</v>
      </c>
      <c r="B53" s="5" t="s">
        <v>19</v>
      </c>
      <c r="C53" s="5" t="s">
        <v>4220</v>
      </c>
      <c r="D53" s="5" t="s">
        <v>72</v>
      </c>
      <c r="E53" s="5" t="s">
        <v>22</v>
      </c>
      <c r="F53" s="5" t="s">
        <v>20</v>
      </c>
      <c r="G53" s="5" t="s">
        <v>692</v>
      </c>
      <c r="H53" s="5" t="s">
        <v>700</v>
      </c>
      <c r="I53" s="5">
        <v>0</v>
      </c>
      <c r="J53" s="6"/>
      <c r="K53" s="5"/>
    </row>
    <row r="54" spans="1:11" ht="19.05" customHeight="1">
      <c r="A54" s="5" t="s">
        <v>702</v>
      </c>
      <c r="B54" s="5" t="s">
        <v>19</v>
      </c>
      <c r="C54" s="5" t="s">
        <v>4221</v>
      </c>
      <c r="D54" s="5" t="s">
        <v>72</v>
      </c>
      <c r="E54" s="5" t="s">
        <v>14</v>
      </c>
      <c r="F54" s="5" t="s">
        <v>16</v>
      </c>
      <c r="G54" s="5" t="s">
        <v>77</v>
      </c>
      <c r="H54" s="5" t="s">
        <v>713</v>
      </c>
      <c r="I54" s="5">
        <v>0</v>
      </c>
      <c r="J54" s="6"/>
      <c r="K54" s="5"/>
    </row>
    <row r="55" spans="1:11" ht="19.05" customHeight="1">
      <c r="A55" s="5" t="s">
        <v>716</v>
      </c>
      <c r="B55" s="5" t="s">
        <v>19</v>
      </c>
      <c r="C55" s="5" t="s">
        <v>4222</v>
      </c>
      <c r="D55" s="5" t="s">
        <v>72</v>
      </c>
      <c r="E55" s="5" t="s">
        <v>14</v>
      </c>
      <c r="F55" s="5" t="s">
        <v>16</v>
      </c>
      <c r="G55" s="5" t="s">
        <v>59</v>
      </c>
      <c r="H55" s="5" t="s">
        <v>255</v>
      </c>
      <c r="I55" s="5">
        <v>0</v>
      </c>
      <c r="J55" s="6"/>
      <c r="K55" s="5"/>
    </row>
    <row r="56" spans="1:11" ht="19.05" customHeight="1">
      <c r="A56" s="5" t="s">
        <v>726</v>
      </c>
      <c r="B56" s="5" t="s">
        <v>19</v>
      </c>
      <c r="C56" s="5" t="s">
        <v>4223</v>
      </c>
      <c r="D56" s="5" t="s">
        <v>72</v>
      </c>
      <c r="E56" s="5" t="s">
        <v>14</v>
      </c>
      <c r="F56" s="5" t="s">
        <v>16</v>
      </c>
      <c r="G56" s="5" t="s">
        <v>77</v>
      </c>
      <c r="H56" s="5" t="s">
        <v>735</v>
      </c>
      <c r="I56" s="5">
        <v>0</v>
      </c>
      <c r="J56" s="6"/>
      <c r="K56" s="5"/>
    </row>
    <row r="57" spans="1:11" ht="19.05" customHeight="1">
      <c r="A57" s="5" t="s">
        <v>737</v>
      </c>
      <c r="B57" s="5" t="s">
        <v>19</v>
      </c>
      <c r="C57" s="5" t="s">
        <v>4224</v>
      </c>
      <c r="D57" s="5" t="s">
        <v>72</v>
      </c>
      <c r="E57" s="5" t="s">
        <v>16</v>
      </c>
      <c r="F57" s="5" t="s">
        <v>16</v>
      </c>
      <c r="G57" s="5" t="s">
        <v>77</v>
      </c>
      <c r="H57" s="5" t="s">
        <v>747</v>
      </c>
      <c r="I57" s="5">
        <v>0</v>
      </c>
      <c r="J57" s="6"/>
      <c r="K57" s="5"/>
    </row>
    <row r="58" spans="1:11" ht="19.05" customHeight="1">
      <c r="A58" s="5" t="s">
        <v>749</v>
      </c>
      <c r="B58" s="5" t="s">
        <v>19</v>
      </c>
      <c r="C58" s="5" t="s">
        <v>4225</v>
      </c>
      <c r="D58" s="5" t="s">
        <v>72</v>
      </c>
      <c r="E58" s="5" t="s">
        <v>14</v>
      </c>
      <c r="F58" s="5" t="s">
        <v>18</v>
      </c>
      <c r="G58" s="5" t="s">
        <v>77</v>
      </c>
      <c r="H58" s="5" t="s">
        <v>760</v>
      </c>
      <c r="I58" s="5">
        <v>0</v>
      </c>
      <c r="J58" s="6"/>
      <c r="K58" s="5"/>
    </row>
    <row r="59" spans="1:11" ht="19.05" customHeight="1">
      <c r="A59" s="5" t="s">
        <v>762</v>
      </c>
      <c r="B59" s="5" t="s">
        <v>19</v>
      </c>
      <c r="C59" s="5" t="s">
        <v>4226</v>
      </c>
      <c r="D59" s="5" t="s">
        <v>72</v>
      </c>
      <c r="E59" s="5" t="s">
        <v>14</v>
      </c>
      <c r="F59" s="5" t="s">
        <v>18</v>
      </c>
      <c r="G59" s="5" t="s">
        <v>77</v>
      </c>
      <c r="H59" s="5" t="s">
        <v>771</v>
      </c>
      <c r="I59" s="5">
        <v>0</v>
      </c>
      <c r="J59" s="6"/>
      <c r="K59" s="5"/>
    </row>
    <row r="60" spans="1:11" ht="19.05" customHeight="1">
      <c r="A60" s="5" t="s">
        <v>773</v>
      </c>
      <c r="B60" s="5" t="s">
        <v>19</v>
      </c>
      <c r="C60" s="5" t="s">
        <v>4227</v>
      </c>
      <c r="D60" s="5" t="s">
        <v>72</v>
      </c>
      <c r="E60" s="5" t="s">
        <v>14</v>
      </c>
      <c r="F60" s="5" t="s">
        <v>18</v>
      </c>
      <c r="G60" s="5" t="s">
        <v>77</v>
      </c>
      <c r="H60" s="5" t="s">
        <v>783</v>
      </c>
      <c r="I60" s="5">
        <v>0</v>
      </c>
      <c r="J60" s="6"/>
      <c r="K60" s="5"/>
    </row>
    <row r="61" spans="1:11" ht="19.05" customHeight="1">
      <c r="A61" s="5" t="s">
        <v>785</v>
      </c>
      <c r="B61" s="5" t="s">
        <v>19</v>
      </c>
      <c r="C61" s="5" t="s">
        <v>4228</v>
      </c>
      <c r="D61" s="5" t="s">
        <v>72</v>
      </c>
      <c r="E61" s="5" t="s">
        <v>16</v>
      </c>
      <c r="F61" s="5" t="s">
        <v>18</v>
      </c>
      <c r="G61" s="5" t="s">
        <v>77</v>
      </c>
      <c r="H61" s="5" t="s">
        <v>795</v>
      </c>
      <c r="I61" s="5">
        <v>0</v>
      </c>
      <c r="J61" s="6"/>
      <c r="K61" s="5"/>
    </row>
    <row r="62" spans="1:11" ht="19.05" customHeight="1">
      <c r="A62" s="5" t="s">
        <v>798</v>
      </c>
      <c r="B62" s="5" t="s">
        <v>19</v>
      </c>
      <c r="C62" s="5" t="s">
        <v>4229</v>
      </c>
      <c r="D62" s="5" t="s">
        <v>72</v>
      </c>
      <c r="E62" s="5" t="s">
        <v>18</v>
      </c>
      <c r="F62" s="5" t="s">
        <v>18</v>
      </c>
      <c r="G62" s="5" t="s">
        <v>77</v>
      </c>
      <c r="H62" s="5" t="s">
        <v>808</v>
      </c>
      <c r="I62" s="5">
        <v>0</v>
      </c>
      <c r="J62" s="6"/>
      <c r="K62" s="5"/>
    </row>
    <row r="63" spans="1:11" ht="19.05" customHeight="1">
      <c r="A63" s="5" t="s">
        <v>811</v>
      </c>
      <c r="B63" s="5" t="s">
        <v>19</v>
      </c>
      <c r="C63" s="5" t="s">
        <v>4230</v>
      </c>
      <c r="D63" s="5" t="s">
        <v>72</v>
      </c>
      <c r="E63" s="5" t="s">
        <v>18</v>
      </c>
      <c r="F63" s="5" t="s">
        <v>20</v>
      </c>
      <c r="G63" s="5" t="s">
        <v>77</v>
      </c>
      <c r="H63" s="5" t="s">
        <v>822</v>
      </c>
      <c r="I63" s="5">
        <v>0</v>
      </c>
      <c r="J63" s="6"/>
      <c r="K63" s="5"/>
    </row>
    <row r="64" spans="1:11" ht="19.05" customHeight="1">
      <c r="A64" s="5" t="s">
        <v>825</v>
      </c>
      <c r="B64" s="5" t="s">
        <v>19</v>
      </c>
      <c r="C64" s="5" t="s">
        <v>4231</v>
      </c>
      <c r="D64" s="5" t="s">
        <v>72</v>
      </c>
      <c r="E64" s="5" t="s">
        <v>16</v>
      </c>
      <c r="F64" s="5" t="s">
        <v>16</v>
      </c>
      <c r="G64" s="5" t="s">
        <v>77</v>
      </c>
      <c r="H64" s="5" t="s">
        <v>836</v>
      </c>
      <c r="I64" s="5">
        <v>0</v>
      </c>
      <c r="J64" s="6"/>
      <c r="K64" s="5"/>
    </row>
    <row r="65" spans="1:11" ht="19.05" customHeight="1">
      <c r="A65" s="5" t="s">
        <v>838</v>
      </c>
      <c r="B65" s="5" t="s">
        <v>19</v>
      </c>
      <c r="C65" s="5" t="s">
        <v>4232</v>
      </c>
      <c r="D65" s="5" t="s">
        <v>72</v>
      </c>
      <c r="E65" s="5" t="s">
        <v>18</v>
      </c>
      <c r="F65" s="5" t="s">
        <v>16</v>
      </c>
      <c r="G65" s="5" t="s">
        <v>77</v>
      </c>
      <c r="H65" s="5" t="s">
        <v>848</v>
      </c>
      <c r="I65" s="5">
        <v>0</v>
      </c>
      <c r="J65" s="6"/>
      <c r="K65" s="5"/>
    </row>
    <row r="66" spans="1:11" ht="19.05" customHeight="1">
      <c r="A66" s="5" t="s">
        <v>850</v>
      </c>
      <c r="B66" s="5" t="s">
        <v>19</v>
      </c>
      <c r="C66" s="5" t="s">
        <v>4233</v>
      </c>
      <c r="D66" s="5" t="s">
        <v>72</v>
      </c>
      <c r="E66" s="5" t="s">
        <v>20</v>
      </c>
      <c r="F66" s="5" t="s">
        <v>18</v>
      </c>
      <c r="G66" s="5" t="s">
        <v>77</v>
      </c>
      <c r="H66" s="5" t="s">
        <v>862</v>
      </c>
      <c r="I66" s="5">
        <v>0</v>
      </c>
      <c r="J66" s="6"/>
      <c r="K66" s="5"/>
    </row>
    <row r="67" spans="1:11" ht="19.05" customHeight="1">
      <c r="A67" s="5" t="s">
        <v>866</v>
      </c>
      <c r="B67" s="5" t="s">
        <v>19</v>
      </c>
      <c r="C67" s="5" t="s">
        <v>4234</v>
      </c>
      <c r="D67" s="5" t="s">
        <v>72</v>
      </c>
      <c r="E67" s="5" t="s">
        <v>20</v>
      </c>
      <c r="F67" s="5" t="s">
        <v>20</v>
      </c>
      <c r="G67" s="5" t="s">
        <v>77</v>
      </c>
      <c r="H67" s="5" t="s">
        <v>875</v>
      </c>
      <c r="I67" s="5">
        <v>0</v>
      </c>
      <c r="J67" s="6"/>
      <c r="K67" s="5"/>
    </row>
    <row r="68" spans="1:11" ht="19.05" customHeight="1">
      <c r="A68" s="5" t="s">
        <v>877</v>
      </c>
      <c r="B68" s="5" t="s">
        <v>19</v>
      </c>
      <c r="C68" s="5" t="s">
        <v>4235</v>
      </c>
      <c r="D68" s="5" t="s">
        <v>72</v>
      </c>
      <c r="E68" s="5" t="s">
        <v>14</v>
      </c>
      <c r="F68" s="5" t="s">
        <v>16</v>
      </c>
      <c r="G68" s="5" t="s">
        <v>77</v>
      </c>
      <c r="H68" s="5" t="s">
        <v>305</v>
      </c>
      <c r="I68" s="5">
        <v>0</v>
      </c>
      <c r="J68" s="6"/>
      <c r="K68" s="5"/>
    </row>
    <row r="69" spans="1:11" ht="19.05" customHeight="1">
      <c r="A69" s="5" t="s">
        <v>888</v>
      </c>
      <c r="B69" s="5" t="s">
        <v>19</v>
      </c>
      <c r="C69" s="5" t="s">
        <v>4236</v>
      </c>
      <c r="D69" s="5" t="s">
        <v>72</v>
      </c>
      <c r="E69" s="5" t="s">
        <v>14</v>
      </c>
      <c r="F69" s="5" t="s">
        <v>16</v>
      </c>
      <c r="G69" s="5" t="s">
        <v>77</v>
      </c>
      <c r="H69" s="5" t="s">
        <v>305</v>
      </c>
      <c r="I69" s="5">
        <v>0</v>
      </c>
      <c r="J69" s="6"/>
      <c r="K69" s="5"/>
    </row>
    <row r="70" spans="1:11" ht="19.05" customHeight="1">
      <c r="A70" s="5" t="s">
        <v>899</v>
      </c>
      <c r="B70" s="5" t="s">
        <v>19</v>
      </c>
      <c r="C70" s="5" t="s">
        <v>4237</v>
      </c>
      <c r="D70" s="5" t="s">
        <v>72</v>
      </c>
      <c r="E70" s="5" t="s">
        <v>14</v>
      </c>
      <c r="F70" s="5" t="s">
        <v>16</v>
      </c>
      <c r="G70" s="5" t="s">
        <v>77</v>
      </c>
      <c r="H70" s="5" t="s">
        <v>760</v>
      </c>
      <c r="I70" s="5">
        <v>0</v>
      </c>
      <c r="J70" s="6"/>
      <c r="K70" s="5"/>
    </row>
    <row r="71" spans="1:11" ht="19.05" customHeight="1">
      <c r="A71" s="5" t="s">
        <v>909</v>
      </c>
      <c r="B71" s="5" t="s">
        <v>19</v>
      </c>
      <c r="C71" s="5" t="s">
        <v>4238</v>
      </c>
      <c r="D71" s="5" t="s">
        <v>72</v>
      </c>
      <c r="E71" s="5" t="s">
        <v>18</v>
      </c>
      <c r="F71" s="5" t="s">
        <v>18</v>
      </c>
      <c r="G71" s="5" t="s">
        <v>77</v>
      </c>
      <c r="H71" s="5" t="s">
        <v>919</v>
      </c>
      <c r="I71" s="5">
        <v>0</v>
      </c>
      <c r="J71" s="6"/>
      <c r="K71" s="5"/>
    </row>
    <row r="72" spans="1:11" ht="19.05" customHeight="1">
      <c r="A72" s="5" t="s">
        <v>922</v>
      </c>
      <c r="B72" s="5" t="s">
        <v>19</v>
      </c>
      <c r="C72" s="5" t="s">
        <v>4239</v>
      </c>
      <c r="D72" s="5" t="s">
        <v>72</v>
      </c>
      <c r="E72" s="5" t="s">
        <v>16</v>
      </c>
      <c r="F72" s="5" t="s">
        <v>18</v>
      </c>
      <c r="G72" s="5" t="s">
        <v>59</v>
      </c>
      <c r="H72" s="5" t="s">
        <v>932</v>
      </c>
      <c r="I72" s="5">
        <v>0</v>
      </c>
      <c r="J72" s="6"/>
      <c r="K72" s="5"/>
    </row>
    <row r="73" spans="1:11" ht="19.05" customHeight="1">
      <c r="A73" s="5" t="s">
        <v>934</v>
      </c>
      <c r="B73" s="5" t="s">
        <v>19</v>
      </c>
      <c r="C73" s="5" t="s">
        <v>4240</v>
      </c>
      <c r="D73" s="5" t="s">
        <v>72</v>
      </c>
      <c r="E73" s="5" t="s">
        <v>14</v>
      </c>
      <c r="F73" s="5" t="s">
        <v>18</v>
      </c>
      <c r="G73" s="5" t="s">
        <v>77</v>
      </c>
      <c r="H73" s="5" t="s">
        <v>243</v>
      </c>
      <c r="I73" s="5">
        <v>0</v>
      </c>
      <c r="J73" s="6"/>
      <c r="K73" s="5"/>
    </row>
    <row r="74" spans="1:11" ht="19.05" customHeight="1">
      <c r="A74" s="5" t="s">
        <v>944</v>
      </c>
      <c r="B74" s="5" t="s">
        <v>19</v>
      </c>
      <c r="C74" s="5" t="s">
        <v>4241</v>
      </c>
      <c r="D74" s="5" t="s">
        <v>72</v>
      </c>
      <c r="E74" s="5" t="s">
        <v>14</v>
      </c>
      <c r="F74" s="5" t="s">
        <v>18</v>
      </c>
      <c r="G74" s="5" t="s">
        <v>77</v>
      </c>
      <c r="H74" s="5" t="s">
        <v>953</v>
      </c>
      <c r="I74" s="5">
        <v>0</v>
      </c>
      <c r="J74" s="6"/>
      <c r="K74" s="5"/>
    </row>
    <row r="75" spans="1:11" ht="19.05" customHeight="1">
      <c r="A75" s="5" t="s">
        <v>955</v>
      </c>
      <c r="B75" s="5" t="s">
        <v>19</v>
      </c>
      <c r="C75" s="5" t="s">
        <v>4242</v>
      </c>
      <c r="D75" s="5" t="s">
        <v>72</v>
      </c>
      <c r="E75" s="5" t="s">
        <v>14</v>
      </c>
      <c r="F75" s="5" t="s">
        <v>18</v>
      </c>
      <c r="G75" s="5" t="s">
        <v>77</v>
      </c>
      <c r="H75" s="5" t="s">
        <v>966</v>
      </c>
      <c r="I75" s="5">
        <v>0</v>
      </c>
      <c r="J75" s="6"/>
      <c r="K75" s="5"/>
    </row>
    <row r="76" spans="1:11" ht="19.05" customHeight="1">
      <c r="A76" s="5" t="s">
        <v>969</v>
      </c>
      <c r="B76" s="5" t="s">
        <v>19</v>
      </c>
      <c r="C76" s="5" t="s">
        <v>4243</v>
      </c>
      <c r="D76" s="5" t="s">
        <v>72</v>
      </c>
      <c r="E76" s="5" t="s">
        <v>14</v>
      </c>
      <c r="F76" s="5" t="s">
        <v>16</v>
      </c>
      <c r="G76" s="5" t="s">
        <v>77</v>
      </c>
      <c r="H76" s="5" t="s">
        <v>979</v>
      </c>
      <c r="I76" s="5">
        <v>0</v>
      </c>
      <c r="J76" s="6"/>
      <c r="K76" s="5"/>
    </row>
    <row r="77" spans="1:11" ht="19.05" customHeight="1">
      <c r="A77" s="5" t="s">
        <v>981</v>
      </c>
      <c r="B77" s="5" t="s">
        <v>19</v>
      </c>
      <c r="C77" s="5" t="s">
        <v>4244</v>
      </c>
      <c r="D77" s="5" t="s">
        <v>72</v>
      </c>
      <c r="E77" s="5" t="s">
        <v>14</v>
      </c>
      <c r="F77" s="5" t="s">
        <v>20</v>
      </c>
      <c r="G77" s="5" t="s">
        <v>59</v>
      </c>
      <c r="H77" s="5" t="s">
        <v>991</v>
      </c>
      <c r="I77" s="5">
        <v>0</v>
      </c>
      <c r="J77" s="6"/>
      <c r="K77" s="5"/>
    </row>
    <row r="78" spans="1:11" ht="19.05" customHeight="1">
      <c r="A78" s="5" t="s">
        <v>994</v>
      </c>
      <c r="B78" s="5" t="s">
        <v>19</v>
      </c>
      <c r="C78" s="5" t="s">
        <v>4245</v>
      </c>
      <c r="D78" s="5" t="s">
        <v>72</v>
      </c>
      <c r="E78" s="5" t="s">
        <v>14</v>
      </c>
      <c r="F78" s="5" t="s">
        <v>18</v>
      </c>
      <c r="G78" s="5" t="s">
        <v>77</v>
      </c>
      <c r="H78" s="5" t="s">
        <v>1005</v>
      </c>
      <c r="I78" s="5">
        <v>0</v>
      </c>
      <c r="J78" s="6"/>
      <c r="K78" s="5"/>
    </row>
    <row r="79" spans="1:11" ht="19.05" customHeight="1">
      <c r="A79" s="5" t="s">
        <v>1007</v>
      </c>
      <c r="B79" s="5" t="s">
        <v>19</v>
      </c>
      <c r="C79" s="5" t="s">
        <v>4246</v>
      </c>
      <c r="D79" s="5" t="s">
        <v>72</v>
      </c>
      <c r="E79" s="5" t="s">
        <v>14</v>
      </c>
      <c r="F79" s="5" t="s">
        <v>18</v>
      </c>
      <c r="G79" s="5" t="s">
        <v>77</v>
      </c>
      <c r="H79" s="5" t="s">
        <v>167</v>
      </c>
      <c r="I79" s="5">
        <v>0</v>
      </c>
      <c r="J79" s="6"/>
      <c r="K79" s="5"/>
    </row>
    <row r="80" spans="1:11" ht="19.05" customHeight="1">
      <c r="A80" s="5" t="s">
        <v>1018</v>
      </c>
      <c r="B80" s="5" t="s">
        <v>19</v>
      </c>
      <c r="C80" s="5" t="s">
        <v>4247</v>
      </c>
      <c r="D80" s="5" t="s">
        <v>72</v>
      </c>
      <c r="E80" s="5" t="s">
        <v>16</v>
      </c>
      <c r="F80" s="5" t="s">
        <v>16</v>
      </c>
      <c r="G80" s="5" t="s">
        <v>77</v>
      </c>
      <c r="H80" s="5" t="s">
        <v>1028</v>
      </c>
      <c r="I80" s="5">
        <v>0</v>
      </c>
      <c r="J80" s="6"/>
      <c r="K80" s="5"/>
    </row>
    <row r="81" spans="1:11" ht="19.05" customHeight="1">
      <c r="A81" s="5" t="s">
        <v>1030</v>
      </c>
      <c r="B81" s="5" t="s">
        <v>19</v>
      </c>
      <c r="C81" s="5" t="s">
        <v>4248</v>
      </c>
      <c r="D81" s="5" t="s">
        <v>72</v>
      </c>
      <c r="E81" s="5" t="s">
        <v>18</v>
      </c>
      <c r="F81" s="5" t="s">
        <v>18</v>
      </c>
      <c r="G81" s="5" t="s">
        <v>59</v>
      </c>
      <c r="H81" s="5" t="s">
        <v>1040</v>
      </c>
      <c r="I81" s="5">
        <v>0</v>
      </c>
      <c r="J81" s="6"/>
      <c r="K81" s="5"/>
    </row>
    <row r="82" spans="1:11" ht="19.05" customHeight="1">
      <c r="A82" s="5" t="s">
        <v>1042</v>
      </c>
      <c r="B82" s="5" t="s">
        <v>21</v>
      </c>
      <c r="C82" s="5" t="s">
        <v>4249</v>
      </c>
      <c r="D82" s="5" t="s">
        <v>72</v>
      </c>
      <c r="E82" s="5" t="s">
        <v>16</v>
      </c>
      <c r="F82" s="5" t="s">
        <v>18</v>
      </c>
      <c r="G82" s="5" t="s">
        <v>77</v>
      </c>
      <c r="H82" s="5" t="s">
        <v>1054</v>
      </c>
      <c r="I82" s="5">
        <v>0</v>
      </c>
      <c r="J82" s="6"/>
      <c r="K82" s="5"/>
    </row>
    <row r="83" spans="1:11" ht="19.05" customHeight="1">
      <c r="A83" s="5" t="s">
        <v>1056</v>
      </c>
      <c r="B83" s="5" t="s">
        <v>21</v>
      </c>
      <c r="C83" s="5" t="s">
        <v>4250</v>
      </c>
      <c r="D83" s="5" t="s">
        <v>72</v>
      </c>
      <c r="E83" s="5" t="s">
        <v>18</v>
      </c>
      <c r="F83" s="5" t="s">
        <v>18</v>
      </c>
      <c r="G83" s="5" t="s">
        <v>77</v>
      </c>
      <c r="H83" s="5" t="s">
        <v>919</v>
      </c>
      <c r="I83" s="5">
        <v>0</v>
      </c>
      <c r="J83" s="6"/>
      <c r="K83" s="5"/>
    </row>
    <row r="84" spans="1:11" ht="19.05" customHeight="1">
      <c r="A84" s="5" t="s">
        <v>1068</v>
      </c>
      <c r="B84" s="5" t="s">
        <v>21</v>
      </c>
      <c r="C84" s="5" t="s">
        <v>4251</v>
      </c>
      <c r="D84" s="5" t="s">
        <v>72</v>
      </c>
      <c r="E84" s="5" t="s">
        <v>20</v>
      </c>
      <c r="F84" s="5" t="s">
        <v>18</v>
      </c>
      <c r="G84" s="5" t="s">
        <v>77</v>
      </c>
      <c r="H84" s="5" t="s">
        <v>1078</v>
      </c>
      <c r="I84" s="5">
        <v>0</v>
      </c>
      <c r="J84" s="6"/>
      <c r="K84" s="5"/>
    </row>
    <row r="85" spans="1:11" ht="19.05" customHeight="1">
      <c r="A85" s="5" t="s">
        <v>1081</v>
      </c>
      <c r="B85" s="5" t="s">
        <v>21</v>
      </c>
      <c r="C85" s="5" t="s">
        <v>4252</v>
      </c>
      <c r="D85" s="5" t="s">
        <v>72</v>
      </c>
      <c r="E85" s="5" t="s">
        <v>20</v>
      </c>
      <c r="F85" s="5" t="s">
        <v>18</v>
      </c>
      <c r="G85" s="5" t="s">
        <v>77</v>
      </c>
      <c r="H85" s="5" t="s">
        <v>862</v>
      </c>
      <c r="I85" s="5">
        <v>0</v>
      </c>
      <c r="J85" s="6"/>
      <c r="K85" s="5"/>
    </row>
    <row r="86" spans="1:11" ht="19.05" customHeight="1">
      <c r="A86" s="5" t="s">
        <v>1091</v>
      </c>
      <c r="B86" s="5" t="s">
        <v>21</v>
      </c>
      <c r="C86" s="5" t="s">
        <v>4253</v>
      </c>
      <c r="D86" s="5" t="s">
        <v>72</v>
      </c>
      <c r="E86" s="5" t="s">
        <v>16</v>
      </c>
      <c r="F86" s="5" t="s">
        <v>16</v>
      </c>
      <c r="G86" s="5" t="s">
        <v>77</v>
      </c>
      <c r="H86" s="5" t="s">
        <v>1102</v>
      </c>
      <c r="I86" s="5">
        <v>0</v>
      </c>
      <c r="J86" s="6"/>
      <c r="K86" s="5"/>
    </row>
    <row r="87" spans="1:11" ht="19.05" customHeight="1">
      <c r="A87" s="5" t="s">
        <v>1105</v>
      </c>
      <c r="B87" s="5" t="s">
        <v>21</v>
      </c>
      <c r="C87" s="5" t="s">
        <v>4254</v>
      </c>
      <c r="D87" s="5" t="s">
        <v>72</v>
      </c>
      <c r="E87" s="5" t="s">
        <v>14</v>
      </c>
      <c r="F87" s="5" t="s">
        <v>16</v>
      </c>
      <c r="G87" s="5" t="s">
        <v>77</v>
      </c>
      <c r="H87" s="5" t="s">
        <v>458</v>
      </c>
      <c r="I87" s="5">
        <v>0</v>
      </c>
      <c r="J87" s="6"/>
      <c r="K87" s="5"/>
    </row>
    <row r="88" spans="1:11" ht="19.05" customHeight="1">
      <c r="A88" s="5" t="s">
        <v>1116</v>
      </c>
      <c r="B88" s="5" t="s">
        <v>21</v>
      </c>
      <c r="C88" s="5" t="s">
        <v>4255</v>
      </c>
      <c r="D88" s="5" t="s">
        <v>72</v>
      </c>
      <c r="E88" s="5" t="s">
        <v>14</v>
      </c>
      <c r="F88" s="5" t="s">
        <v>16</v>
      </c>
      <c r="G88" s="5" t="s">
        <v>77</v>
      </c>
      <c r="H88" s="5" t="s">
        <v>760</v>
      </c>
      <c r="I88" s="5">
        <v>0</v>
      </c>
      <c r="J88" s="6"/>
      <c r="K88" s="5"/>
    </row>
    <row r="89" spans="1:11" ht="19.05" customHeight="1">
      <c r="A89" s="5" t="s">
        <v>1126</v>
      </c>
      <c r="B89" s="5" t="s">
        <v>21</v>
      </c>
      <c r="C89" s="5" t="s">
        <v>4256</v>
      </c>
      <c r="D89" s="5" t="s">
        <v>72</v>
      </c>
      <c r="E89" s="5" t="s">
        <v>16</v>
      </c>
      <c r="F89" s="5" t="s">
        <v>16</v>
      </c>
      <c r="G89" s="5" t="s">
        <v>77</v>
      </c>
      <c r="H89" s="5" t="s">
        <v>1138</v>
      </c>
      <c r="I89" s="5">
        <v>0</v>
      </c>
      <c r="J89" s="6"/>
      <c r="K89" s="5"/>
    </row>
    <row r="90" spans="1:11" ht="19.05" customHeight="1">
      <c r="A90" s="5" t="s">
        <v>1140</v>
      </c>
      <c r="B90" s="5" t="s">
        <v>21</v>
      </c>
      <c r="C90" s="5" t="s">
        <v>4257</v>
      </c>
      <c r="D90" s="5" t="s">
        <v>72</v>
      </c>
      <c r="E90" s="5" t="s">
        <v>16</v>
      </c>
      <c r="F90" s="5" t="s">
        <v>16</v>
      </c>
      <c r="G90" s="5" t="s">
        <v>77</v>
      </c>
      <c r="H90" s="5" t="s">
        <v>1150</v>
      </c>
      <c r="I90" s="5">
        <v>0</v>
      </c>
      <c r="J90" s="6"/>
      <c r="K90" s="5"/>
    </row>
    <row r="91" spans="1:11" ht="19.05" customHeight="1">
      <c r="A91" s="5" t="s">
        <v>1152</v>
      </c>
      <c r="B91" s="5" t="s">
        <v>21</v>
      </c>
      <c r="C91" s="5" t="s">
        <v>4258</v>
      </c>
      <c r="D91" s="5" t="s">
        <v>72</v>
      </c>
      <c r="E91" s="5" t="s">
        <v>14</v>
      </c>
      <c r="F91" s="5" t="s">
        <v>16</v>
      </c>
      <c r="G91" s="5" t="s">
        <v>77</v>
      </c>
      <c r="H91" s="5" t="s">
        <v>1005</v>
      </c>
      <c r="I91" s="5">
        <v>0</v>
      </c>
      <c r="J91" s="6"/>
      <c r="K91" s="5"/>
    </row>
    <row r="92" spans="1:11" ht="19.05" customHeight="1">
      <c r="A92" s="5" t="s">
        <v>1163</v>
      </c>
      <c r="B92" s="5" t="s">
        <v>21</v>
      </c>
      <c r="C92" s="5" t="s">
        <v>4259</v>
      </c>
      <c r="D92" s="5" t="s">
        <v>72</v>
      </c>
      <c r="E92" s="5" t="s">
        <v>16</v>
      </c>
      <c r="F92" s="5" t="s">
        <v>18</v>
      </c>
      <c r="G92" s="5" t="s">
        <v>77</v>
      </c>
      <c r="H92" s="5" t="s">
        <v>1173</v>
      </c>
      <c r="I92" s="5">
        <v>0</v>
      </c>
      <c r="J92" s="6"/>
      <c r="K92" s="5"/>
    </row>
    <row r="93" spans="1:11" ht="19.05" customHeight="1">
      <c r="A93" s="5" t="s">
        <v>1175</v>
      </c>
      <c r="B93" s="5" t="s">
        <v>21</v>
      </c>
      <c r="C93" s="5" t="s">
        <v>4260</v>
      </c>
      <c r="D93" s="5" t="s">
        <v>72</v>
      </c>
      <c r="E93" s="5" t="s">
        <v>20</v>
      </c>
      <c r="F93" s="5" t="s">
        <v>20</v>
      </c>
      <c r="G93" s="5" t="s">
        <v>59</v>
      </c>
      <c r="H93" s="5" t="s">
        <v>919</v>
      </c>
      <c r="I93" s="5">
        <v>0</v>
      </c>
      <c r="J93" s="6"/>
      <c r="K93" s="5"/>
    </row>
    <row r="94" spans="1:11" ht="19.05" customHeight="1">
      <c r="A94" s="5" t="s">
        <v>1189</v>
      </c>
      <c r="B94" s="5" t="s">
        <v>21</v>
      </c>
      <c r="C94" s="5" t="s">
        <v>4261</v>
      </c>
      <c r="D94" s="5" t="s">
        <v>72</v>
      </c>
      <c r="E94" s="5" t="s">
        <v>14</v>
      </c>
      <c r="F94" s="5" t="s">
        <v>16</v>
      </c>
      <c r="G94" s="5" t="s">
        <v>77</v>
      </c>
      <c r="H94" s="5" t="s">
        <v>771</v>
      </c>
      <c r="I94" s="5">
        <v>0</v>
      </c>
      <c r="J94" s="6"/>
      <c r="K94" s="5"/>
    </row>
    <row r="95" spans="1:11" ht="19.05" customHeight="1">
      <c r="A95" s="5" t="s">
        <v>1201</v>
      </c>
      <c r="B95" s="5" t="s">
        <v>21</v>
      </c>
      <c r="C95" s="5" t="s">
        <v>4262</v>
      </c>
      <c r="D95" s="5" t="s">
        <v>72</v>
      </c>
      <c r="E95" s="5" t="s">
        <v>14</v>
      </c>
      <c r="F95" s="5" t="s">
        <v>16</v>
      </c>
      <c r="G95" s="5" t="s">
        <v>77</v>
      </c>
      <c r="H95" s="5" t="s">
        <v>305</v>
      </c>
      <c r="I95" s="5">
        <v>0</v>
      </c>
      <c r="J95" s="6"/>
      <c r="K95" s="5"/>
    </row>
    <row r="96" spans="1:11" ht="19.05" customHeight="1">
      <c r="A96" s="5" t="s">
        <v>1212</v>
      </c>
      <c r="B96" s="5" t="s">
        <v>21</v>
      </c>
      <c r="C96" s="5" t="s">
        <v>4263</v>
      </c>
      <c r="D96" s="5" t="s">
        <v>72</v>
      </c>
      <c r="E96" s="5" t="s">
        <v>14</v>
      </c>
      <c r="F96" s="5" t="s">
        <v>18</v>
      </c>
      <c r="G96" s="5" t="s">
        <v>59</v>
      </c>
      <c r="H96" s="5" t="s">
        <v>1222</v>
      </c>
      <c r="I96" s="5">
        <v>0</v>
      </c>
      <c r="J96" s="6"/>
      <c r="K96" s="5"/>
    </row>
    <row r="97" spans="1:11" ht="19.05" customHeight="1">
      <c r="A97" s="5" t="s">
        <v>1224</v>
      </c>
      <c r="B97" s="5" t="s">
        <v>21</v>
      </c>
      <c r="C97" s="5" t="s">
        <v>4264</v>
      </c>
      <c r="D97" s="5" t="s">
        <v>72</v>
      </c>
      <c r="E97" s="5" t="s">
        <v>18</v>
      </c>
      <c r="F97" s="5" t="s">
        <v>20</v>
      </c>
      <c r="G97" s="5" t="s">
        <v>1227</v>
      </c>
      <c r="H97" s="5" t="s">
        <v>1236</v>
      </c>
      <c r="I97" s="5">
        <v>0</v>
      </c>
      <c r="J97" s="6"/>
      <c r="K97" s="5"/>
    </row>
    <row r="98" spans="1:11" ht="19.05" customHeight="1">
      <c r="A98" s="5" t="s">
        <v>1238</v>
      </c>
      <c r="B98" s="5" t="s">
        <v>21</v>
      </c>
      <c r="C98" s="5" t="s">
        <v>4265</v>
      </c>
      <c r="D98" s="5" t="s">
        <v>72</v>
      </c>
      <c r="E98" s="5" t="s">
        <v>16</v>
      </c>
      <c r="F98" s="5" t="s">
        <v>18</v>
      </c>
      <c r="G98" s="5" t="s">
        <v>59</v>
      </c>
      <c r="H98" s="5" t="s">
        <v>1249</v>
      </c>
      <c r="I98" s="5">
        <v>0</v>
      </c>
      <c r="J98" s="6"/>
      <c r="K98" s="5"/>
    </row>
    <row r="99" spans="1:11" ht="19.05" customHeight="1">
      <c r="A99" s="5" t="s">
        <v>1251</v>
      </c>
      <c r="B99" s="5" t="s">
        <v>21</v>
      </c>
      <c r="C99" s="5" t="s">
        <v>4266</v>
      </c>
      <c r="D99" s="5" t="s">
        <v>72</v>
      </c>
      <c r="E99" s="5" t="s">
        <v>22</v>
      </c>
      <c r="F99" s="5" t="s">
        <v>20</v>
      </c>
      <c r="G99" s="5" t="s">
        <v>335</v>
      </c>
      <c r="H99" s="5" t="s">
        <v>1259</v>
      </c>
      <c r="I99" s="5">
        <v>0</v>
      </c>
      <c r="J99" s="6"/>
      <c r="K99" s="5"/>
    </row>
    <row r="100" spans="1:11" ht="19.05" customHeight="1">
      <c r="A100" s="5" t="s">
        <v>1261</v>
      </c>
      <c r="B100" s="5" t="s">
        <v>21</v>
      </c>
      <c r="C100" s="5" t="s">
        <v>4267</v>
      </c>
      <c r="D100" s="5" t="s">
        <v>72</v>
      </c>
      <c r="E100" s="5" t="s">
        <v>14</v>
      </c>
      <c r="F100" s="5" t="s">
        <v>16</v>
      </c>
      <c r="G100" s="5" t="s">
        <v>77</v>
      </c>
      <c r="H100" s="5" t="s">
        <v>1005</v>
      </c>
      <c r="I100" s="5">
        <v>0</v>
      </c>
      <c r="J100" s="6"/>
      <c r="K100" s="5"/>
    </row>
    <row r="101" spans="1:11" ht="19.05" customHeight="1">
      <c r="A101" s="5" t="s">
        <v>1272</v>
      </c>
      <c r="B101" s="5" t="s">
        <v>21</v>
      </c>
      <c r="C101" s="5" t="s">
        <v>4268</v>
      </c>
      <c r="D101" s="5" t="s">
        <v>72</v>
      </c>
      <c r="E101" s="5" t="s">
        <v>14</v>
      </c>
      <c r="F101" s="5" t="s">
        <v>18</v>
      </c>
      <c r="G101" s="5" t="s">
        <v>77</v>
      </c>
      <c r="H101" s="5" t="s">
        <v>1282</v>
      </c>
      <c r="I101" s="5">
        <v>0</v>
      </c>
      <c r="J101" s="6"/>
      <c r="K101" s="5"/>
    </row>
    <row r="102" spans="1:11" ht="19.05" customHeight="1">
      <c r="A102" s="5" t="s">
        <v>1285</v>
      </c>
      <c r="B102" s="5" t="s">
        <v>21</v>
      </c>
      <c r="C102" s="5" t="s">
        <v>4269</v>
      </c>
      <c r="D102" s="5" t="s">
        <v>72</v>
      </c>
      <c r="E102" s="5" t="s">
        <v>16</v>
      </c>
      <c r="F102" s="5" t="s">
        <v>18</v>
      </c>
      <c r="G102" s="5" t="s">
        <v>77</v>
      </c>
      <c r="H102" s="5" t="s">
        <v>1295</v>
      </c>
      <c r="I102" s="5">
        <v>0</v>
      </c>
      <c r="J102" s="6"/>
      <c r="K102" s="5"/>
    </row>
    <row r="103" spans="1:11" ht="19.05" customHeight="1">
      <c r="A103" s="5" t="s">
        <v>1297</v>
      </c>
      <c r="B103" s="5" t="s">
        <v>21</v>
      </c>
      <c r="C103" s="5" t="s">
        <v>4270</v>
      </c>
      <c r="D103" s="5" t="s">
        <v>72</v>
      </c>
      <c r="E103" s="5" t="s">
        <v>14</v>
      </c>
      <c r="F103" s="5" t="s">
        <v>16</v>
      </c>
      <c r="G103" s="5" t="s">
        <v>77</v>
      </c>
      <c r="H103" s="5" t="s">
        <v>1249</v>
      </c>
      <c r="I103" s="5">
        <v>0</v>
      </c>
      <c r="J103" s="6"/>
      <c r="K103" s="5"/>
    </row>
    <row r="104" spans="1:11" ht="19.05" customHeight="1">
      <c r="A104" s="5" t="s">
        <v>1309</v>
      </c>
      <c r="B104" s="5" t="s">
        <v>21</v>
      </c>
      <c r="C104" s="5" t="s">
        <v>4271</v>
      </c>
      <c r="D104" s="5" t="s">
        <v>72</v>
      </c>
      <c r="E104" s="5" t="s">
        <v>18</v>
      </c>
      <c r="F104" s="5" t="s">
        <v>16</v>
      </c>
      <c r="G104" s="5" t="s">
        <v>77</v>
      </c>
      <c r="H104" s="5" t="s">
        <v>919</v>
      </c>
      <c r="I104" s="5">
        <v>0</v>
      </c>
      <c r="J104" s="6"/>
      <c r="K104" s="5"/>
    </row>
    <row r="105" spans="1:11" ht="19.05" customHeight="1">
      <c r="A105" s="5" t="s">
        <v>1320</v>
      </c>
      <c r="B105" s="5" t="s">
        <v>21</v>
      </c>
      <c r="C105" s="5" t="s">
        <v>4272</v>
      </c>
      <c r="D105" s="5" t="s">
        <v>72</v>
      </c>
      <c r="E105" s="5" t="s">
        <v>14</v>
      </c>
      <c r="F105" s="5" t="s">
        <v>18</v>
      </c>
      <c r="G105" s="5" t="s">
        <v>77</v>
      </c>
      <c r="H105" s="5" t="s">
        <v>760</v>
      </c>
      <c r="I105" s="5">
        <v>0</v>
      </c>
      <c r="J105" s="6"/>
      <c r="K105" s="5"/>
    </row>
    <row r="106" spans="1:11" ht="19.05" customHeight="1">
      <c r="A106" s="5" t="s">
        <v>1332</v>
      </c>
      <c r="B106" s="5" t="s">
        <v>21</v>
      </c>
      <c r="C106" s="5" t="s">
        <v>4273</v>
      </c>
      <c r="D106" s="5" t="s">
        <v>72</v>
      </c>
      <c r="E106" s="5" t="s">
        <v>14</v>
      </c>
      <c r="F106" s="5" t="s">
        <v>18</v>
      </c>
      <c r="G106" s="5" t="s">
        <v>77</v>
      </c>
      <c r="H106" s="5" t="s">
        <v>1342</v>
      </c>
      <c r="I106" s="5">
        <v>0</v>
      </c>
      <c r="J106" s="6"/>
      <c r="K106" s="5"/>
    </row>
    <row r="107" spans="1:11" ht="19.05" customHeight="1">
      <c r="A107" s="5" t="s">
        <v>1344</v>
      </c>
      <c r="B107" s="5" t="s">
        <v>21</v>
      </c>
      <c r="C107" s="5" t="s">
        <v>4274</v>
      </c>
      <c r="D107" s="5" t="s">
        <v>72</v>
      </c>
      <c r="E107" s="5" t="s">
        <v>14</v>
      </c>
      <c r="F107" s="5" t="s">
        <v>18</v>
      </c>
      <c r="G107" s="5" t="s">
        <v>59</v>
      </c>
      <c r="H107" s="5" t="s">
        <v>1354</v>
      </c>
      <c r="I107" s="5">
        <v>0</v>
      </c>
      <c r="J107" s="6"/>
      <c r="K107" s="5"/>
    </row>
    <row r="108" spans="1:11" ht="19.05" customHeight="1">
      <c r="A108" s="5" t="s">
        <v>1356</v>
      </c>
      <c r="B108" s="5" t="s">
        <v>21</v>
      </c>
      <c r="C108" s="5" t="s">
        <v>4275</v>
      </c>
      <c r="D108" s="5" t="s">
        <v>72</v>
      </c>
      <c r="E108" s="5" t="s">
        <v>20</v>
      </c>
      <c r="F108" s="5" t="s">
        <v>20</v>
      </c>
      <c r="G108" s="5" t="s">
        <v>77</v>
      </c>
      <c r="H108" s="5" t="s">
        <v>1367</v>
      </c>
      <c r="I108" s="5">
        <v>0</v>
      </c>
      <c r="J108" s="6"/>
      <c r="K108" s="5"/>
    </row>
    <row r="109" spans="1:11" ht="19.05" customHeight="1">
      <c r="A109" s="5" t="s">
        <v>1369</v>
      </c>
      <c r="B109" s="5" t="s">
        <v>21</v>
      </c>
      <c r="C109" s="5" t="s">
        <v>4276</v>
      </c>
      <c r="D109" s="5" t="s">
        <v>72</v>
      </c>
      <c r="E109" s="5" t="s">
        <v>20</v>
      </c>
      <c r="F109" s="5" t="s">
        <v>20</v>
      </c>
      <c r="G109" s="5" t="s">
        <v>77</v>
      </c>
      <c r="H109" s="5" t="s">
        <v>919</v>
      </c>
      <c r="I109" s="5">
        <v>0</v>
      </c>
      <c r="J109" s="6"/>
      <c r="K109" s="5"/>
    </row>
    <row r="110" spans="1:11" ht="19.05" customHeight="1">
      <c r="A110" s="5" t="s">
        <v>1381</v>
      </c>
      <c r="B110" s="5" t="s">
        <v>21</v>
      </c>
      <c r="C110" s="5" t="s">
        <v>4277</v>
      </c>
      <c r="D110" s="5" t="s">
        <v>72</v>
      </c>
      <c r="E110" s="5" t="s">
        <v>16</v>
      </c>
      <c r="F110" s="5" t="s">
        <v>18</v>
      </c>
      <c r="G110" s="5" t="s">
        <v>77</v>
      </c>
      <c r="H110" s="5" t="s">
        <v>1392</v>
      </c>
      <c r="I110" s="5">
        <v>0</v>
      </c>
      <c r="J110" s="6"/>
      <c r="K110" s="5"/>
    </row>
    <row r="111" spans="1:11" ht="19.05" customHeight="1">
      <c r="A111" s="5" t="s">
        <v>1394</v>
      </c>
      <c r="B111" s="5" t="s">
        <v>21</v>
      </c>
      <c r="C111" s="5" t="s">
        <v>4278</v>
      </c>
      <c r="D111" s="5" t="s">
        <v>72</v>
      </c>
      <c r="E111" s="5" t="s">
        <v>18</v>
      </c>
      <c r="F111" s="5" t="s">
        <v>18</v>
      </c>
      <c r="G111" s="5" t="s">
        <v>77</v>
      </c>
      <c r="H111" s="5" t="s">
        <v>919</v>
      </c>
      <c r="I111" s="5">
        <v>0</v>
      </c>
      <c r="J111" s="6"/>
      <c r="K111" s="5"/>
    </row>
    <row r="112" spans="1:11" ht="19.05" customHeight="1">
      <c r="A112" s="5" t="s">
        <v>1404</v>
      </c>
      <c r="B112" s="5" t="s">
        <v>21</v>
      </c>
      <c r="C112" s="5" t="s">
        <v>4279</v>
      </c>
      <c r="D112" s="5" t="s">
        <v>72</v>
      </c>
      <c r="E112" s="5" t="s">
        <v>20</v>
      </c>
      <c r="F112" s="5" t="s">
        <v>18</v>
      </c>
      <c r="G112" s="5" t="s">
        <v>77</v>
      </c>
      <c r="H112" s="5" t="s">
        <v>919</v>
      </c>
      <c r="I112" s="5">
        <v>0</v>
      </c>
      <c r="J112" s="6"/>
      <c r="K112" s="5"/>
    </row>
    <row r="113" spans="1:11" ht="19.05" customHeight="1">
      <c r="A113" s="5" t="s">
        <v>1415</v>
      </c>
      <c r="B113" s="5" t="s">
        <v>21</v>
      </c>
      <c r="C113" s="5" t="s">
        <v>4280</v>
      </c>
      <c r="D113" s="5" t="s">
        <v>72</v>
      </c>
      <c r="E113" s="5" t="s">
        <v>14</v>
      </c>
      <c r="F113" s="5" t="s">
        <v>18</v>
      </c>
      <c r="G113" s="5" t="s">
        <v>77</v>
      </c>
      <c r="H113" s="5" t="s">
        <v>305</v>
      </c>
      <c r="I113" s="5">
        <v>0</v>
      </c>
      <c r="J113" s="6"/>
      <c r="K113" s="5"/>
    </row>
    <row r="114" spans="1:11" ht="19.05" customHeight="1">
      <c r="A114" s="5" t="s">
        <v>1426</v>
      </c>
      <c r="B114" s="5" t="s">
        <v>21</v>
      </c>
      <c r="C114" s="5" t="s">
        <v>4281</v>
      </c>
      <c r="D114" s="5" t="s">
        <v>72</v>
      </c>
      <c r="E114" s="5" t="s">
        <v>16</v>
      </c>
      <c r="F114" s="5" t="s">
        <v>18</v>
      </c>
      <c r="G114" s="5" t="s">
        <v>77</v>
      </c>
      <c r="H114" s="5" t="s">
        <v>1435</v>
      </c>
      <c r="I114" s="5">
        <v>0</v>
      </c>
      <c r="J114" s="6"/>
      <c r="K114" s="5"/>
    </row>
    <row r="115" spans="1:11" ht="19.05" customHeight="1">
      <c r="A115" s="5" t="s">
        <v>1437</v>
      </c>
      <c r="B115" s="5" t="s">
        <v>21</v>
      </c>
      <c r="C115" s="5" t="s">
        <v>4282</v>
      </c>
      <c r="D115" s="5" t="s">
        <v>72</v>
      </c>
      <c r="E115" s="5" t="s">
        <v>14</v>
      </c>
      <c r="F115" s="5" t="s">
        <v>18</v>
      </c>
      <c r="G115" s="5" t="s">
        <v>77</v>
      </c>
      <c r="H115" s="5" t="s">
        <v>1447</v>
      </c>
      <c r="I115" s="5">
        <v>0</v>
      </c>
      <c r="J115" s="6"/>
      <c r="K115" s="5"/>
    </row>
    <row r="116" spans="1:11" ht="19.05" customHeight="1">
      <c r="A116" s="5" t="s">
        <v>1449</v>
      </c>
      <c r="B116" s="5" t="s">
        <v>23</v>
      </c>
      <c r="C116" s="5" t="s">
        <v>4283</v>
      </c>
      <c r="D116" s="5" t="s">
        <v>72</v>
      </c>
      <c r="E116" s="5" t="s">
        <v>18</v>
      </c>
      <c r="F116" s="5" t="s">
        <v>18</v>
      </c>
      <c r="G116" s="5" t="s">
        <v>77</v>
      </c>
      <c r="H116" s="5" t="s">
        <v>919</v>
      </c>
      <c r="I116" s="5">
        <v>0</v>
      </c>
      <c r="J116" s="6"/>
      <c r="K116" s="5"/>
    </row>
    <row r="117" spans="1:11" ht="19.05" customHeight="1">
      <c r="A117" s="5" t="s">
        <v>1463</v>
      </c>
      <c r="B117" s="5" t="s">
        <v>23</v>
      </c>
      <c r="C117" s="5" t="s">
        <v>4284</v>
      </c>
      <c r="D117" s="5" t="s">
        <v>72</v>
      </c>
      <c r="E117" s="5" t="s">
        <v>18</v>
      </c>
      <c r="F117" s="5" t="s">
        <v>18</v>
      </c>
      <c r="G117" s="5" t="s">
        <v>77</v>
      </c>
      <c r="H117" s="5" t="s">
        <v>919</v>
      </c>
      <c r="I117" s="5">
        <v>0</v>
      </c>
      <c r="J117" s="6"/>
      <c r="K117" s="5"/>
    </row>
    <row r="118" spans="1:11" ht="19.05" customHeight="1">
      <c r="A118" s="5" t="s">
        <v>1475</v>
      </c>
      <c r="B118" s="5" t="s">
        <v>23</v>
      </c>
      <c r="C118" s="5" t="s">
        <v>4285</v>
      </c>
      <c r="D118" s="5" t="s">
        <v>72</v>
      </c>
      <c r="E118" s="5" t="s">
        <v>18</v>
      </c>
      <c r="F118" s="5" t="s">
        <v>18</v>
      </c>
      <c r="G118" s="5" t="s">
        <v>77</v>
      </c>
      <c r="H118" s="5" t="s">
        <v>919</v>
      </c>
      <c r="I118" s="5">
        <v>0</v>
      </c>
      <c r="J118" s="6"/>
      <c r="K118" s="5"/>
    </row>
    <row r="119" spans="1:11" ht="19.05" customHeight="1">
      <c r="A119" s="5" t="s">
        <v>1487</v>
      </c>
      <c r="B119" s="5" t="s">
        <v>23</v>
      </c>
      <c r="C119" s="5" t="s">
        <v>4286</v>
      </c>
      <c r="D119" s="5" t="s">
        <v>72</v>
      </c>
      <c r="E119" s="5" t="s">
        <v>16</v>
      </c>
      <c r="F119" s="5" t="s">
        <v>16</v>
      </c>
      <c r="G119" s="5" t="s">
        <v>77</v>
      </c>
      <c r="H119" s="5" t="s">
        <v>1498</v>
      </c>
      <c r="I119" s="5">
        <v>0</v>
      </c>
      <c r="J119" s="6"/>
      <c r="K119" s="5"/>
    </row>
    <row r="120" spans="1:11" ht="19.05" customHeight="1">
      <c r="A120" s="5" t="s">
        <v>1500</v>
      </c>
      <c r="B120" s="5" t="s">
        <v>23</v>
      </c>
      <c r="C120" s="5" t="s">
        <v>4287</v>
      </c>
      <c r="D120" s="5" t="s">
        <v>72</v>
      </c>
      <c r="E120" s="5" t="s">
        <v>16</v>
      </c>
      <c r="F120" s="5" t="s">
        <v>16</v>
      </c>
      <c r="G120" s="5" t="s">
        <v>77</v>
      </c>
      <c r="H120" s="5" t="s">
        <v>139</v>
      </c>
      <c r="I120" s="5">
        <v>0</v>
      </c>
      <c r="J120" s="6"/>
      <c r="K120" s="5"/>
    </row>
    <row r="121" spans="1:11" ht="19.05" customHeight="1">
      <c r="A121" s="5" t="s">
        <v>1512</v>
      </c>
      <c r="B121" s="5" t="s">
        <v>23</v>
      </c>
      <c r="C121" s="5" t="s">
        <v>4288</v>
      </c>
      <c r="D121" s="5" t="s">
        <v>72</v>
      </c>
      <c r="E121" s="5" t="s">
        <v>20</v>
      </c>
      <c r="F121" s="5" t="s">
        <v>16</v>
      </c>
      <c r="G121" s="5" t="s">
        <v>77</v>
      </c>
      <c r="H121" s="5" t="s">
        <v>919</v>
      </c>
      <c r="I121" s="5">
        <v>0</v>
      </c>
      <c r="J121" s="6"/>
      <c r="K121" s="5"/>
    </row>
    <row r="122" spans="1:11" ht="19.05" customHeight="1">
      <c r="A122" s="5" t="s">
        <v>1524</v>
      </c>
      <c r="B122" s="5" t="s">
        <v>23</v>
      </c>
      <c r="C122" s="5" t="s">
        <v>4289</v>
      </c>
      <c r="D122" s="5" t="s">
        <v>72</v>
      </c>
      <c r="E122" s="5" t="s">
        <v>14</v>
      </c>
      <c r="F122" s="5" t="s">
        <v>16</v>
      </c>
      <c r="G122" s="5" t="s">
        <v>77</v>
      </c>
      <c r="H122" s="5" t="s">
        <v>1535</v>
      </c>
      <c r="I122" s="5">
        <v>0</v>
      </c>
      <c r="J122" s="6"/>
      <c r="K122" s="5"/>
    </row>
    <row r="123" spans="1:11" ht="19.05" customHeight="1">
      <c r="A123" s="5" t="s">
        <v>1537</v>
      </c>
      <c r="B123" s="5" t="s">
        <v>23</v>
      </c>
      <c r="C123" s="5" t="s">
        <v>4290</v>
      </c>
      <c r="D123" s="5" t="s">
        <v>72</v>
      </c>
      <c r="E123" s="5" t="s">
        <v>14</v>
      </c>
      <c r="F123" s="5" t="s">
        <v>16</v>
      </c>
      <c r="G123" s="5" t="s">
        <v>77</v>
      </c>
      <c r="H123" s="5" t="s">
        <v>1547</v>
      </c>
      <c r="I123" s="5">
        <v>0</v>
      </c>
      <c r="J123" s="6"/>
      <c r="K123" s="5"/>
    </row>
    <row r="124" spans="1:11" ht="19.05" customHeight="1">
      <c r="A124" s="5" t="s">
        <v>1549</v>
      </c>
      <c r="B124" s="5" t="s">
        <v>23</v>
      </c>
      <c r="C124" s="5" t="s">
        <v>4291</v>
      </c>
      <c r="D124" s="5" t="s">
        <v>72</v>
      </c>
      <c r="E124" s="5" t="s">
        <v>18</v>
      </c>
      <c r="F124" s="5" t="s">
        <v>18</v>
      </c>
      <c r="G124" s="5" t="s">
        <v>77</v>
      </c>
      <c r="H124" s="5" t="s">
        <v>919</v>
      </c>
      <c r="I124" s="5">
        <v>0</v>
      </c>
      <c r="J124" s="6"/>
      <c r="K124" s="5"/>
    </row>
    <row r="125" spans="1:11" ht="19.05" customHeight="1">
      <c r="A125" s="5" t="s">
        <v>1560</v>
      </c>
      <c r="B125" s="5" t="s">
        <v>23</v>
      </c>
      <c r="C125" s="5" t="s">
        <v>4292</v>
      </c>
      <c r="D125" s="5" t="s">
        <v>72</v>
      </c>
      <c r="E125" s="5" t="s">
        <v>22</v>
      </c>
      <c r="F125" s="5" t="s">
        <v>20</v>
      </c>
      <c r="G125" s="5" t="s">
        <v>335</v>
      </c>
      <c r="H125" s="5" t="s">
        <v>1570</v>
      </c>
      <c r="I125" s="5">
        <v>0</v>
      </c>
      <c r="J125" s="6"/>
      <c r="K125" s="5"/>
    </row>
    <row r="126" spans="1:11" ht="19.05" customHeight="1">
      <c r="A126" s="5" t="s">
        <v>1573</v>
      </c>
      <c r="B126" s="5" t="s">
        <v>23</v>
      </c>
      <c r="C126" s="5" t="s">
        <v>4293</v>
      </c>
      <c r="D126" s="5" t="s">
        <v>72</v>
      </c>
      <c r="E126" s="5" t="s">
        <v>16</v>
      </c>
      <c r="F126" s="5" t="s">
        <v>16</v>
      </c>
      <c r="G126" s="5" t="s">
        <v>77</v>
      </c>
      <c r="H126" s="5" t="s">
        <v>747</v>
      </c>
      <c r="I126" s="5">
        <v>0</v>
      </c>
      <c r="J126" s="6"/>
      <c r="K126" s="5"/>
    </row>
    <row r="127" spans="1:11" ht="19.05" customHeight="1">
      <c r="A127" s="5" t="s">
        <v>1584</v>
      </c>
      <c r="B127" s="5" t="s">
        <v>23</v>
      </c>
      <c r="C127" s="5" t="s">
        <v>4294</v>
      </c>
      <c r="D127" s="5" t="s">
        <v>72</v>
      </c>
      <c r="E127" s="5" t="s">
        <v>16</v>
      </c>
      <c r="F127" s="5" t="s">
        <v>16</v>
      </c>
      <c r="G127" s="5" t="s">
        <v>77</v>
      </c>
      <c r="H127" s="5" t="s">
        <v>919</v>
      </c>
      <c r="I127" s="5">
        <v>0</v>
      </c>
      <c r="J127" s="6"/>
      <c r="K127" s="5"/>
    </row>
    <row r="128" spans="1:11" ht="19.05" customHeight="1">
      <c r="A128" s="5" t="s">
        <v>1595</v>
      </c>
      <c r="B128" s="5" t="s">
        <v>23</v>
      </c>
      <c r="C128" s="5" t="s">
        <v>4295</v>
      </c>
      <c r="D128" s="5" t="s">
        <v>72</v>
      </c>
      <c r="E128" s="5" t="s">
        <v>16</v>
      </c>
      <c r="F128" s="5" t="s">
        <v>16</v>
      </c>
      <c r="G128" s="5" t="s">
        <v>77</v>
      </c>
      <c r="H128" s="5" t="s">
        <v>1605</v>
      </c>
      <c r="I128" s="5">
        <v>0</v>
      </c>
      <c r="J128" s="6"/>
      <c r="K128" s="5"/>
    </row>
    <row r="129" spans="1:11" ht="19.05" customHeight="1">
      <c r="A129" s="5" t="s">
        <v>1607</v>
      </c>
      <c r="B129" s="5" t="s">
        <v>23</v>
      </c>
      <c r="C129" s="5" t="s">
        <v>4296</v>
      </c>
      <c r="D129" s="5" t="s">
        <v>72</v>
      </c>
      <c r="E129" s="5" t="s">
        <v>20</v>
      </c>
      <c r="F129" s="5" t="s">
        <v>18</v>
      </c>
      <c r="G129" s="5" t="s">
        <v>77</v>
      </c>
      <c r="H129" s="5" t="s">
        <v>919</v>
      </c>
      <c r="I129" s="5">
        <v>0</v>
      </c>
      <c r="J129" s="6"/>
      <c r="K129" s="5"/>
    </row>
    <row r="130" spans="1:11" ht="19.05" customHeight="1">
      <c r="A130" s="5" t="s">
        <v>1619</v>
      </c>
      <c r="B130" s="5" t="s">
        <v>23</v>
      </c>
      <c r="C130" s="5" t="s">
        <v>4297</v>
      </c>
      <c r="D130" s="5" t="s">
        <v>72</v>
      </c>
      <c r="E130" s="5" t="s">
        <v>18</v>
      </c>
      <c r="F130" s="5" t="s">
        <v>16</v>
      </c>
      <c r="G130" s="5" t="s">
        <v>77</v>
      </c>
      <c r="H130" s="5" t="s">
        <v>1628</v>
      </c>
      <c r="I130" s="5">
        <v>0</v>
      </c>
      <c r="J130" s="6"/>
      <c r="K130" s="5"/>
    </row>
    <row r="131" spans="1:11" ht="19.05" customHeight="1">
      <c r="A131" s="5" t="s">
        <v>1630</v>
      </c>
      <c r="B131" s="5" t="s">
        <v>23</v>
      </c>
      <c r="C131" s="5" t="s">
        <v>4298</v>
      </c>
      <c r="D131" s="5" t="s">
        <v>72</v>
      </c>
      <c r="E131" s="5" t="s">
        <v>16</v>
      </c>
      <c r="F131" s="5" t="s">
        <v>16</v>
      </c>
      <c r="G131" s="5" t="s">
        <v>77</v>
      </c>
      <c r="H131" s="5" t="s">
        <v>139</v>
      </c>
      <c r="I131" s="5">
        <v>0</v>
      </c>
      <c r="J131" s="6"/>
      <c r="K131" s="5"/>
    </row>
    <row r="132" spans="1:11" ht="19.05" customHeight="1">
      <c r="A132" s="5" t="s">
        <v>1642</v>
      </c>
      <c r="B132" s="5" t="s">
        <v>23</v>
      </c>
      <c r="C132" s="5" t="s">
        <v>4299</v>
      </c>
      <c r="D132" s="5" t="s">
        <v>72</v>
      </c>
      <c r="E132" s="5" t="s">
        <v>16</v>
      </c>
      <c r="F132" s="5" t="s">
        <v>18</v>
      </c>
      <c r="G132" s="5" t="s">
        <v>77</v>
      </c>
      <c r="H132" s="5" t="s">
        <v>1652</v>
      </c>
      <c r="I132" s="5">
        <v>0</v>
      </c>
      <c r="J132" s="6"/>
      <c r="K132" s="5"/>
    </row>
    <row r="133" spans="1:11" ht="19.05" customHeight="1">
      <c r="A133" s="5" t="s">
        <v>1654</v>
      </c>
      <c r="B133" s="5" t="s">
        <v>23</v>
      </c>
      <c r="C133" s="5" t="s">
        <v>4300</v>
      </c>
      <c r="D133" s="5" t="s">
        <v>72</v>
      </c>
      <c r="E133" s="5" t="s">
        <v>20</v>
      </c>
      <c r="F133" s="5" t="s">
        <v>18</v>
      </c>
      <c r="G133" s="5" t="s">
        <v>77</v>
      </c>
      <c r="H133" s="5" t="s">
        <v>919</v>
      </c>
      <c r="I133" s="5">
        <v>0</v>
      </c>
      <c r="J133" s="6"/>
      <c r="K133" s="5"/>
    </row>
    <row r="134" spans="1:11" ht="19.05" customHeight="1">
      <c r="A134" s="5" t="s">
        <v>1665</v>
      </c>
      <c r="B134" s="5" t="s">
        <v>23</v>
      </c>
      <c r="C134" s="5" t="s">
        <v>4301</v>
      </c>
      <c r="D134" s="5" t="s">
        <v>72</v>
      </c>
      <c r="E134" s="5" t="s">
        <v>20</v>
      </c>
      <c r="F134" s="5" t="s">
        <v>20</v>
      </c>
      <c r="G134" s="5" t="s">
        <v>77</v>
      </c>
      <c r="H134" s="5" t="s">
        <v>919</v>
      </c>
      <c r="I134" s="5">
        <v>0</v>
      </c>
      <c r="J134" s="6"/>
      <c r="K134" s="5"/>
    </row>
    <row r="135" spans="1:11" ht="19.05" customHeight="1">
      <c r="A135" s="5" t="s">
        <v>1675</v>
      </c>
      <c r="B135" s="5" t="s">
        <v>24</v>
      </c>
      <c r="C135" s="5" t="s">
        <v>4302</v>
      </c>
      <c r="D135" s="5" t="s">
        <v>72</v>
      </c>
      <c r="E135" s="5" t="s">
        <v>14</v>
      </c>
      <c r="F135" s="5" t="s">
        <v>16</v>
      </c>
      <c r="G135" s="5" t="s">
        <v>77</v>
      </c>
      <c r="H135" s="5" t="s">
        <v>760</v>
      </c>
      <c r="I135" s="5">
        <v>0</v>
      </c>
      <c r="J135" s="6"/>
      <c r="K135" s="5"/>
    </row>
    <row r="136" spans="1:11" ht="19.05" customHeight="1">
      <c r="A136" s="5" t="s">
        <v>1688</v>
      </c>
      <c r="B136" s="5" t="s">
        <v>24</v>
      </c>
      <c r="C136" s="5" t="s">
        <v>4303</v>
      </c>
      <c r="D136" s="5" t="s">
        <v>72</v>
      </c>
      <c r="E136" s="5" t="s">
        <v>14</v>
      </c>
      <c r="F136" s="5" t="s">
        <v>16</v>
      </c>
      <c r="G136" s="5" t="s">
        <v>77</v>
      </c>
      <c r="H136" s="5" t="s">
        <v>648</v>
      </c>
      <c r="I136" s="5">
        <v>0</v>
      </c>
      <c r="J136" s="6"/>
      <c r="K136" s="5"/>
    </row>
    <row r="137" spans="1:11" ht="19.05" customHeight="1">
      <c r="A137" s="5" t="s">
        <v>1699</v>
      </c>
      <c r="B137" s="5" t="s">
        <v>24</v>
      </c>
      <c r="C137" s="5" t="s">
        <v>4304</v>
      </c>
      <c r="D137" s="5" t="s">
        <v>72</v>
      </c>
      <c r="E137" s="5" t="s">
        <v>14</v>
      </c>
      <c r="F137" s="5" t="s">
        <v>20</v>
      </c>
      <c r="G137" s="5" t="s">
        <v>59</v>
      </c>
      <c r="H137" s="5" t="s">
        <v>1710</v>
      </c>
      <c r="I137" s="5">
        <v>0</v>
      </c>
      <c r="J137" s="6"/>
      <c r="K137" s="5"/>
    </row>
    <row r="138" spans="1:11" ht="19.05" customHeight="1">
      <c r="A138" s="5" t="s">
        <v>1712</v>
      </c>
      <c r="B138" s="5" t="s">
        <v>24</v>
      </c>
      <c r="C138" s="5" t="s">
        <v>4305</v>
      </c>
      <c r="D138" s="5" t="s">
        <v>72</v>
      </c>
      <c r="E138" s="5" t="s">
        <v>14</v>
      </c>
      <c r="F138" s="5" t="s">
        <v>16</v>
      </c>
      <c r="G138" s="5" t="s">
        <v>77</v>
      </c>
      <c r="H138" s="5" t="s">
        <v>1723</v>
      </c>
      <c r="I138" s="5">
        <v>0</v>
      </c>
      <c r="J138" s="6"/>
      <c r="K138" s="5"/>
    </row>
    <row r="139" spans="1:11" ht="19.05" customHeight="1">
      <c r="A139" s="5" t="s">
        <v>1725</v>
      </c>
      <c r="B139" s="5" t="s">
        <v>24</v>
      </c>
      <c r="C139" s="5" t="s">
        <v>4306</v>
      </c>
      <c r="D139" s="5" t="s">
        <v>72</v>
      </c>
      <c r="E139" s="5" t="s">
        <v>14</v>
      </c>
      <c r="F139" s="5" t="s">
        <v>16</v>
      </c>
      <c r="G139" s="5" t="s">
        <v>77</v>
      </c>
      <c r="H139" s="5" t="s">
        <v>1735</v>
      </c>
      <c r="I139" s="5">
        <v>0</v>
      </c>
      <c r="J139" s="6"/>
      <c r="K139" s="5"/>
    </row>
    <row r="140" spans="1:11" ht="19.05" customHeight="1">
      <c r="A140" s="5" t="s">
        <v>1738</v>
      </c>
      <c r="B140" s="5" t="s">
        <v>24</v>
      </c>
      <c r="C140" s="5" t="s">
        <v>4307</v>
      </c>
      <c r="D140" s="5" t="s">
        <v>72</v>
      </c>
      <c r="E140" s="5" t="s">
        <v>16</v>
      </c>
      <c r="F140" s="5" t="s">
        <v>20</v>
      </c>
      <c r="G140" s="5" t="s">
        <v>59</v>
      </c>
      <c r="H140" s="5" t="s">
        <v>1748</v>
      </c>
      <c r="I140" s="5">
        <v>0</v>
      </c>
      <c r="J140" s="6"/>
      <c r="K140" s="5"/>
    </row>
    <row r="141" spans="1:11" ht="19.05" customHeight="1">
      <c r="A141" s="5" t="s">
        <v>1751</v>
      </c>
      <c r="B141" s="5" t="s">
        <v>24</v>
      </c>
      <c r="C141" s="5" t="s">
        <v>4308</v>
      </c>
      <c r="D141" s="5" t="s">
        <v>72</v>
      </c>
      <c r="E141" s="5" t="s">
        <v>14</v>
      </c>
      <c r="F141" s="5" t="s">
        <v>18</v>
      </c>
      <c r="G141" s="5" t="s">
        <v>77</v>
      </c>
      <c r="H141" s="5" t="s">
        <v>1762</v>
      </c>
      <c r="I141" s="5">
        <v>0</v>
      </c>
      <c r="J141" s="6"/>
      <c r="K141" s="5"/>
    </row>
    <row r="142" spans="1:11" ht="19.05" customHeight="1">
      <c r="A142" s="5" t="s">
        <v>1764</v>
      </c>
      <c r="B142" s="5" t="s">
        <v>24</v>
      </c>
      <c r="C142" s="5" t="s">
        <v>4309</v>
      </c>
      <c r="D142" s="5" t="s">
        <v>72</v>
      </c>
      <c r="E142" s="5" t="s">
        <v>16</v>
      </c>
      <c r="F142" s="5" t="s">
        <v>18</v>
      </c>
      <c r="G142" s="5" t="s">
        <v>77</v>
      </c>
      <c r="H142" s="5" t="s">
        <v>1774</v>
      </c>
      <c r="I142" s="5">
        <v>0</v>
      </c>
      <c r="J142" s="6"/>
      <c r="K142" s="5"/>
    </row>
    <row r="143" spans="1:11" ht="19.05" customHeight="1">
      <c r="A143" s="5" t="s">
        <v>1776</v>
      </c>
      <c r="B143" s="5" t="s">
        <v>24</v>
      </c>
      <c r="C143" s="5" t="s">
        <v>4310</v>
      </c>
      <c r="D143" s="5" t="s">
        <v>72</v>
      </c>
      <c r="E143" s="5" t="s">
        <v>14</v>
      </c>
      <c r="F143" s="5" t="s">
        <v>16</v>
      </c>
      <c r="G143" s="5" t="s">
        <v>77</v>
      </c>
      <c r="H143" s="5" t="s">
        <v>1787</v>
      </c>
      <c r="I143" s="5">
        <v>0</v>
      </c>
      <c r="J143" s="6"/>
      <c r="K143" s="5"/>
    </row>
    <row r="144" spans="1:11" ht="19.05" customHeight="1">
      <c r="A144" s="5" t="s">
        <v>1789</v>
      </c>
      <c r="B144" s="5" t="s">
        <v>24</v>
      </c>
      <c r="C144" s="5" t="s">
        <v>4311</v>
      </c>
      <c r="D144" s="5" t="s">
        <v>72</v>
      </c>
      <c r="E144" s="5" t="s">
        <v>16</v>
      </c>
      <c r="F144" s="5" t="s">
        <v>20</v>
      </c>
      <c r="G144" s="5" t="s">
        <v>77</v>
      </c>
      <c r="H144" s="5" t="s">
        <v>1787</v>
      </c>
      <c r="I144" s="5">
        <v>0</v>
      </c>
      <c r="J144" s="6"/>
      <c r="K144" s="5"/>
    </row>
    <row r="145" spans="1:11" ht="19.05" customHeight="1">
      <c r="A145" s="5" t="s">
        <v>1800</v>
      </c>
      <c r="B145" s="5" t="s">
        <v>24</v>
      </c>
      <c r="C145" s="5" t="s">
        <v>4312</v>
      </c>
      <c r="D145" s="5" t="s">
        <v>72</v>
      </c>
      <c r="E145" s="5" t="s">
        <v>18</v>
      </c>
      <c r="F145" s="5" t="s">
        <v>18</v>
      </c>
      <c r="G145" s="5" t="s">
        <v>77</v>
      </c>
      <c r="H145" s="5" t="s">
        <v>1810</v>
      </c>
      <c r="I145" s="5">
        <v>0</v>
      </c>
      <c r="J145" s="6"/>
      <c r="K145" s="5"/>
    </row>
    <row r="146" spans="1:11" ht="19.05" customHeight="1">
      <c r="A146" s="5" t="s">
        <v>1812</v>
      </c>
      <c r="B146" s="5" t="s">
        <v>24</v>
      </c>
      <c r="C146" s="5" t="s">
        <v>4313</v>
      </c>
      <c r="D146" s="5" t="s">
        <v>72</v>
      </c>
      <c r="E146" s="5" t="s">
        <v>18</v>
      </c>
      <c r="F146" s="5" t="s">
        <v>20</v>
      </c>
      <c r="G146" s="5" t="s">
        <v>77</v>
      </c>
      <c r="H146" s="5" t="s">
        <v>919</v>
      </c>
      <c r="I146" s="5">
        <v>0</v>
      </c>
      <c r="J146" s="6"/>
      <c r="K146" s="5"/>
    </row>
    <row r="147" spans="1:11" ht="19.05" customHeight="1">
      <c r="A147" s="5" t="s">
        <v>1825</v>
      </c>
      <c r="B147" s="5" t="s">
        <v>24</v>
      </c>
      <c r="C147" s="5" t="s">
        <v>4314</v>
      </c>
      <c r="D147" s="5" t="s">
        <v>72</v>
      </c>
      <c r="E147" s="5" t="s">
        <v>14</v>
      </c>
      <c r="F147" s="5" t="s">
        <v>16</v>
      </c>
      <c r="G147" s="5" t="s">
        <v>77</v>
      </c>
      <c r="H147" s="5" t="s">
        <v>1836</v>
      </c>
      <c r="I147" s="5">
        <v>0</v>
      </c>
      <c r="J147" s="6"/>
      <c r="K147" s="5"/>
    </row>
    <row r="148" spans="1:11" ht="19.05" customHeight="1">
      <c r="A148" s="5" t="s">
        <v>1838</v>
      </c>
      <c r="B148" s="5" t="s">
        <v>24</v>
      </c>
      <c r="C148" s="5" t="s">
        <v>4315</v>
      </c>
      <c r="D148" s="5" t="s">
        <v>72</v>
      </c>
      <c r="E148" s="5" t="s">
        <v>16</v>
      </c>
      <c r="F148" s="5" t="s">
        <v>16</v>
      </c>
      <c r="G148" s="5" t="s">
        <v>77</v>
      </c>
      <c r="H148" s="5" t="s">
        <v>1849</v>
      </c>
      <c r="I148" s="5">
        <v>0</v>
      </c>
      <c r="J148" s="6"/>
      <c r="K148" s="5"/>
    </row>
    <row r="149" spans="1:11" ht="19.05" customHeight="1">
      <c r="A149" s="5" t="s">
        <v>1851</v>
      </c>
      <c r="B149" s="5" t="s">
        <v>24</v>
      </c>
      <c r="C149" s="5" t="s">
        <v>4316</v>
      </c>
      <c r="D149" s="5" t="s">
        <v>72</v>
      </c>
      <c r="E149" s="5" t="s">
        <v>16</v>
      </c>
      <c r="F149" s="5" t="s">
        <v>18</v>
      </c>
      <c r="G149" s="5" t="s">
        <v>59</v>
      </c>
      <c r="H149" s="5" t="s">
        <v>1860</v>
      </c>
      <c r="I149" s="5">
        <v>0</v>
      </c>
      <c r="J149" s="6"/>
      <c r="K149" s="5"/>
    </row>
    <row r="150" spans="1:11" ht="19.05" customHeight="1">
      <c r="A150" s="5" t="s">
        <v>1863</v>
      </c>
      <c r="B150" s="5" t="s">
        <v>24</v>
      </c>
      <c r="C150" s="5" t="s">
        <v>4317</v>
      </c>
      <c r="D150" s="5" t="s">
        <v>72</v>
      </c>
      <c r="E150" s="5" t="s">
        <v>14</v>
      </c>
      <c r="F150" s="5" t="s">
        <v>18</v>
      </c>
      <c r="G150" s="5" t="s">
        <v>59</v>
      </c>
      <c r="H150" s="5" t="s">
        <v>1873</v>
      </c>
      <c r="I150" s="5">
        <v>0</v>
      </c>
      <c r="J150" s="6"/>
      <c r="K150" s="5"/>
    </row>
    <row r="151" spans="1:11" ht="19.05" customHeight="1">
      <c r="A151" s="5" t="s">
        <v>1875</v>
      </c>
      <c r="B151" s="5" t="s">
        <v>24</v>
      </c>
      <c r="C151" s="5" t="s">
        <v>4318</v>
      </c>
      <c r="D151" s="5" t="s">
        <v>72</v>
      </c>
      <c r="E151" s="5" t="s">
        <v>14</v>
      </c>
      <c r="F151" s="5" t="s">
        <v>16</v>
      </c>
      <c r="G151" s="5" t="s">
        <v>77</v>
      </c>
      <c r="H151" s="5" t="s">
        <v>139</v>
      </c>
      <c r="I151" s="5">
        <v>0</v>
      </c>
      <c r="J151" s="6"/>
      <c r="K151" s="5"/>
    </row>
    <row r="152" spans="1:11" ht="19.05" customHeight="1">
      <c r="A152" s="5" t="s">
        <v>1886</v>
      </c>
      <c r="B152" s="5" t="s">
        <v>24</v>
      </c>
      <c r="C152" s="5" t="s">
        <v>4319</v>
      </c>
      <c r="D152" s="5" t="s">
        <v>72</v>
      </c>
      <c r="E152" s="5" t="s">
        <v>22</v>
      </c>
      <c r="F152" s="5" t="s">
        <v>20</v>
      </c>
      <c r="G152" s="5" t="s">
        <v>1890</v>
      </c>
      <c r="H152" s="5" t="s">
        <v>1898</v>
      </c>
      <c r="I152" s="5">
        <v>0</v>
      </c>
      <c r="J152" s="6"/>
      <c r="K152" s="5"/>
    </row>
    <row r="153" spans="1:11" ht="19.05" customHeight="1">
      <c r="A153" s="5" t="s">
        <v>1901</v>
      </c>
      <c r="B153" s="5" t="s">
        <v>24</v>
      </c>
      <c r="C153" s="5" t="s">
        <v>4320</v>
      </c>
      <c r="D153" s="5" t="s">
        <v>72</v>
      </c>
      <c r="E153" s="5" t="s">
        <v>16</v>
      </c>
      <c r="F153" s="5" t="s">
        <v>16</v>
      </c>
      <c r="G153" s="5" t="s">
        <v>77</v>
      </c>
      <c r="H153" s="5" t="s">
        <v>1912</v>
      </c>
      <c r="I153" s="5">
        <v>0</v>
      </c>
      <c r="J153" s="6"/>
      <c r="K153" s="5"/>
    </row>
    <row r="154" spans="1:11" ht="19.05" customHeight="1">
      <c r="A154" s="5" t="s">
        <v>1914</v>
      </c>
      <c r="B154" s="5" t="s">
        <v>24</v>
      </c>
      <c r="C154" s="5" t="s">
        <v>4321</v>
      </c>
      <c r="D154" s="5" t="s">
        <v>72</v>
      </c>
      <c r="E154" s="5" t="s">
        <v>14</v>
      </c>
      <c r="F154" s="5" t="s">
        <v>18</v>
      </c>
      <c r="G154" s="5" t="s">
        <v>77</v>
      </c>
      <c r="H154" s="5" t="s">
        <v>1924</v>
      </c>
      <c r="I154" s="5">
        <v>0</v>
      </c>
      <c r="J154" s="6"/>
      <c r="K154" s="5"/>
    </row>
    <row r="155" spans="1:11" ht="19.05" customHeight="1">
      <c r="A155" s="5" t="s">
        <v>1926</v>
      </c>
      <c r="B155" s="5" t="s">
        <v>24</v>
      </c>
      <c r="C155" s="5" t="s">
        <v>4322</v>
      </c>
      <c r="D155" s="5" t="s">
        <v>72</v>
      </c>
      <c r="E155" s="5" t="s">
        <v>14</v>
      </c>
      <c r="F155" s="5" t="s">
        <v>18</v>
      </c>
      <c r="G155" s="5" t="s">
        <v>77</v>
      </c>
      <c r="H155" s="5" t="s">
        <v>1937</v>
      </c>
      <c r="I155" s="5">
        <v>0</v>
      </c>
      <c r="J155" s="6"/>
      <c r="K155" s="5"/>
    </row>
    <row r="156" spans="1:11" ht="19.05" customHeight="1">
      <c r="A156" s="5" t="s">
        <v>1939</v>
      </c>
      <c r="B156" s="5" t="s">
        <v>24</v>
      </c>
      <c r="C156" s="5" t="s">
        <v>4323</v>
      </c>
      <c r="D156" s="5" t="s">
        <v>72</v>
      </c>
      <c r="E156" s="5" t="s">
        <v>14</v>
      </c>
      <c r="F156" s="5" t="s">
        <v>18</v>
      </c>
      <c r="G156" s="5" t="s">
        <v>77</v>
      </c>
      <c r="H156" s="5" t="s">
        <v>1949</v>
      </c>
      <c r="I156" s="5">
        <v>0</v>
      </c>
      <c r="J156" s="6"/>
      <c r="K156" s="5"/>
    </row>
    <row r="157" spans="1:11" ht="19.05" customHeight="1">
      <c r="A157" s="5" t="s">
        <v>1951</v>
      </c>
      <c r="B157" s="5" t="s">
        <v>24</v>
      </c>
      <c r="C157" s="5" t="s">
        <v>4324</v>
      </c>
      <c r="D157" s="5" t="s">
        <v>72</v>
      </c>
      <c r="E157" s="5" t="s">
        <v>20</v>
      </c>
      <c r="F157" s="5" t="s">
        <v>20</v>
      </c>
      <c r="G157" s="5" t="s">
        <v>59</v>
      </c>
      <c r="H157" s="5" t="s">
        <v>919</v>
      </c>
      <c r="I157" s="5">
        <v>0</v>
      </c>
      <c r="J157" s="6"/>
      <c r="K157" s="5"/>
    </row>
    <row r="158" spans="1:11" ht="19.05" customHeight="1">
      <c r="A158" s="5" t="s">
        <v>1963</v>
      </c>
      <c r="B158" s="5" t="s">
        <v>24</v>
      </c>
      <c r="C158" s="5" t="s">
        <v>4325</v>
      </c>
      <c r="D158" s="5" t="s">
        <v>72</v>
      </c>
      <c r="E158" s="5" t="s">
        <v>14</v>
      </c>
      <c r="F158" s="5" t="s">
        <v>18</v>
      </c>
      <c r="G158" s="5" t="s">
        <v>77</v>
      </c>
      <c r="H158" s="5" t="s">
        <v>1974</v>
      </c>
      <c r="I158" s="5">
        <v>0</v>
      </c>
      <c r="J158" s="6"/>
      <c r="K158" s="5"/>
    </row>
    <row r="159" spans="1:11" ht="19.05" customHeight="1">
      <c r="A159" s="5" t="s">
        <v>1976</v>
      </c>
      <c r="B159" s="5" t="s">
        <v>24</v>
      </c>
      <c r="C159" s="5" t="s">
        <v>4326</v>
      </c>
      <c r="D159" s="5" t="s">
        <v>72</v>
      </c>
      <c r="E159" s="5" t="s">
        <v>14</v>
      </c>
      <c r="F159" s="5" t="s">
        <v>18</v>
      </c>
      <c r="G159" s="5" t="s">
        <v>77</v>
      </c>
      <c r="H159" s="5" t="s">
        <v>1987</v>
      </c>
      <c r="I159" s="5">
        <v>0</v>
      </c>
      <c r="J159" s="6"/>
      <c r="K159" s="5"/>
    </row>
    <row r="160" spans="1:11" ht="19.05" customHeight="1">
      <c r="A160" s="5" t="s">
        <v>1989</v>
      </c>
      <c r="B160" s="5" t="s">
        <v>24</v>
      </c>
      <c r="C160" s="5" t="s">
        <v>4327</v>
      </c>
      <c r="D160" s="5" t="s">
        <v>72</v>
      </c>
      <c r="E160" s="5" t="s">
        <v>18</v>
      </c>
      <c r="F160" s="5" t="s">
        <v>20</v>
      </c>
      <c r="G160" s="5" t="s">
        <v>77</v>
      </c>
      <c r="H160" s="5" t="s">
        <v>919</v>
      </c>
      <c r="I160" s="5">
        <v>0</v>
      </c>
      <c r="J160" s="6"/>
      <c r="K160" s="5"/>
    </row>
    <row r="161" spans="1:11" ht="19.05" customHeight="1">
      <c r="A161" s="5" t="s">
        <v>2000</v>
      </c>
      <c r="B161" s="5" t="s">
        <v>24</v>
      </c>
      <c r="C161" s="5" t="s">
        <v>4328</v>
      </c>
      <c r="D161" s="5" t="s">
        <v>72</v>
      </c>
      <c r="E161" s="5" t="s">
        <v>16</v>
      </c>
      <c r="F161" s="5" t="s">
        <v>18</v>
      </c>
      <c r="G161" s="5" t="s">
        <v>59</v>
      </c>
      <c r="H161" s="5" t="s">
        <v>2009</v>
      </c>
      <c r="I161" s="5">
        <v>0</v>
      </c>
      <c r="J161" s="6"/>
      <c r="K161" s="5"/>
    </row>
    <row r="162" spans="1:11" ht="19.05" customHeight="1">
      <c r="A162" s="5" t="s">
        <v>2012</v>
      </c>
      <c r="B162" s="5" t="s">
        <v>25</v>
      </c>
      <c r="C162" s="5" t="s">
        <v>4329</v>
      </c>
      <c r="D162" s="5" t="s">
        <v>72</v>
      </c>
      <c r="E162" s="5" t="s">
        <v>16</v>
      </c>
      <c r="F162" s="5" t="s">
        <v>20</v>
      </c>
      <c r="G162" s="5" t="s">
        <v>2017</v>
      </c>
      <c r="H162" s="5" t="s">
        <v>2026</v>
      </c>
      <c r="I162" s="5">
        <v>0</v>
      </c>
      <c r="J162" s="6"/>
      <c r="K162" s="5"/>
    </row>
    <row r="163" spans="1:11" ht="19.05" customHeight="1">
      <c r="A163" s="5" t="s">
        <v>2029</v>
      </c>
      <c r="B163" s="5" t="s">
        <v>25</v>
      </c>
      <c r="C163" s="5" t="s">
        <v>4330</v>
      </c>
      <c r="D163" s="5" t="s">
        <v>72</v>
      </c>
      <c r="E163" s="5" t="s">
        <v>16</v>
      </c>
      <c r="F163" s="5" t="s">
        <v>16</v>
      </c>
      <c r="G163" s="5" t="s">
        <v>77</v>
      </c>
      <c r="H163" s="5" t="s">
        <v>2040</v>
      </c>
      <c r="I163" s="5">
        <v>0</v>
      </c>
      <c r="J163" s="6"/>
      <c r="K163" s="5"/>
    </row>
    <row r="164" spans="1:11" ht="19.05" customHeight="1">
      <c r="A164" s="5" t="s">
        <v>2042</v>
      </c>
      <c r="B164" s="5" t="s">
        <v>25</v>
      </c>
      <c r="C164" s="5" t="s">
        <v>4331</v>
      </c>
      <c r="D164" s="5" t="s">
        <v>72</v>
      </c>
      <c r="E164" s="5" t="s">
        <v>14</v>
      </c>
      <c r="F164" s="5" t="s">
        <v>16</v>
      </c>
      <c r="G164" s="5" t="s">
        <v>77</v>
      </c>
      <c r="H164" s="5" t="s">
        <v>1005</v>
      </c>
      <c r="I164" s="5">
        <v>0</v>
      </c>
      <c r="J164" s="6"/>
      <c r="K164" s="5"/>
    </row>
    <row r="165" spans="1:11" ht="19.05" customHeight="1">
      <c r="A165" s="5" t="s">
        <v>2053</v>
      </c>
      <c r="B165" s="5" t="s">
        <v>25</v>
      </c>
      <c r="C165" s="5" t="s">
        <v>4332</v>
      </c>
      <c r="D165" s="5" t="s">
        <v>72</v>
      </c>
      <c r="E165" s="5" t="s">
        <v>20</v>
      </c>
      <c r="F165" s="5" t="s">
        <v>18</v>
      </c>
      <c r="G165" s="5" t="s">
        <v>77</v>
      </c>
      <c r="H165" s="5" t="s">
        <v>919</v>
      </c>
      <c r="I165" s="5">
        <v>0</v>
      </c>
      <c r="J165" s="6"/>
      <c r="K165" s="5"/>
    </row>
    <row r="166" spans="1:11" ht="19.05" customHeight="1">
      <c r="A166" s="5" t="s">
        <v>2065</v>
      </c>
      <c r="B166" s="5" t="s">
        <v>25</v>
      </c>
      <c r="C166" s="5" t="s">
        <v>4333</v>
      </c>
      <c r="D166" s="5" t="s">
        <v>72</v>
      </c>
      <c r="E166" s="5" t="s">
        <v>14</v>
      </c>
      <c r="F166" s="5" t="s">
        <v>16</v>
      </c>
      <c r="G166" s="5" t="s">
        <v>77</v>
      </c>
      <c r="H166" s="5" t="s">
        <v>2076</v>
      </c>
      <c r="I166" s="5">
        <v>0</v>
      </c>
      <c r="J166" s="6"/>
      <c r="K166" s="5"/>
    </row>
    <row r="167" spans="1:11" ht="19.05" customHeight="1">
      <c r="A167" s="5" t="s">
        <v>2078</v>
      </c>
      <c r="B167" s="5" t="s">
        <v>25</v>
      </c>
      <c r="C167" s="5" t="s">
        <v>4334</v>
      </c>
      <c r="D167" s="5" t="s">
        <v>72</v>
      </c>
      <c r="E167" s="5" t="s">
        <v>16</v>
      </c>
      <c r="F167" s="5" t="s">
        <v>20</v>
      </c>
      <c r="G167" s="5" t="s">
        <v>59</v>
      </c>
      <c r="H167" s="5" t="s">
        <v>2089</v>
      </c>
      <c r="I167" s="5">
        <v>0</v>
      </c>
      <c r="J167" s="6"/>
      <c r="K167" s="5"/>
    </row>
    <row r="168" spans="1:11" ht="19.05" customHeight="1">
      <c r="A168" s="5" t="s">
        <v>2092</v>
      </c>
      <c r="B168" s="5" t="s">
        <v>25</v>
      </c>
      <c r="C168" s="5" t="s">
        <v>4335</v>
      </c>
      <c r="D168" s="5" t="s">
        <v>72</v>
      </c>
      <c r="E168" s="5" t="s">
        <v>20</v>
      </c>
      <c r="F168" s="5" t="s">
        <v>18</v>
      </c>
      <c r="G168" s="5" t="s">
        <v>77</v>
      </c>
      <c r="H168" s="5" t="s">
        <v>2103</v>
      </c>
      <c r="I168" s="5">
        <v>0</v>
      </c>
      <c r="J168" s="6"/>
      <c r="K168" s="5"/>
    </row>
    <row r="169" spans="1:11" ht="19.05" customHeight="1">
      <c r="A169" s="5" t="s">
        <v>2105</v>
      </c>
      <c r="B169" s="5" t="s">
        <v>25</v>
      </c>
      <c r="C169" s="5" t="s">
        <v>4336</v>
      </c>
      <c r="D169" s="5" t="s">
        <v>72</v>
      </c>
      <c r="E169" s="5" t="s">
        <v>22</v>
      </c>
      <c r="F169" s="5" t="s">
        <v>20</v>
      </c>
      <c r="G169" s="5" t="s">
        <v>77</v>
      </c>
      <c r="H169" s="5" t="s">
        <v>1367</v>
      </c>
      <c r="I169" s="5">
        <v>0</v>
      </c>
      <c r="J169" s="6"/>
      <c r="K169" s="5"/>
    </row>
    <row r="170" spans="1:11" ht="19.05" customHeight="1">
      <c r="A170" s="5" t="s">
        <v>2116</v>
      </c>
      <c r="B170" s="5" t="s">
        <v>25</v>
      </c>
      <c r="C170" s="5" t="s">
        <v>4337</v>
      </c>
      <c r="D170" s="5" t="s">
        <v>72</v>
      </c>
      <c r="E170" s="5" t="s">
        <v>14</v>
      </c>
      <c r="F170" s="5" t="s">
        <v>20</v>
      </c>
      <c r="G170" s="5" t="s">
        <v>59</v>
      </c>
      <c r="H170" s="5" t="s">
        <v>2127</v>
      </c>
      <c r="I170" s="5">
        <v>0</v>
      </c>
      <c r="J170" s="6"/>
      <c r="K170" s="5"/>
    </row>
    <row r="171" spans="1:11" ht="19.05" customHeight="1">
      <c r="A171" s="5" t="s">
        <v>2130</v>
      </c>
      <c r="B171" s="5" t="s">
        <v>25</v>
      </c>
      <c r="C171" s="5" t="s">
        <v>4338</v>
      </c>
      <c r="D171" s="5" t="s">
        <v>72</v>
      </c>
      <c r="E171" s="5" t="s">
        <v>22</v>
      </c>
      <c r="F171" s="5" t="s">
        <v>20</v>
      </c>
      <c r="G171" s="5" t="s">
        <v>2133</v>
      </c>
      <c r="H171" s="5" t="s">
        <v>2139</v>
      </c>
      <c r="I171" s="5">
        <v>0</v>
      </c>
      <c r="J171" s="6"/>
      <c r="K171" s="5"/>
    </row>
    <row r="172" spans="1:11" ht="19.05" customHeight="1">
      <c r="A172" s="5" t="s">
        <v>2141</v>
      </c>
      <c r="B172" s="5" t="s">
        <v>25</v>
      </c>
      <c r="C172" s="5" t="s">
        <v>4339</v>
      </c>
      <c r="D172" s="5" t="s">
        <v>72</v>
      </c>
      <c r="E172" s="5" t="s">
        <v>14</v>
      </c>
      <c r="F172" s="5" t="s">
        <v>16</v>
      </c>
      <c r="G172" s="5" t="s">
        <v>77</v>
      </c>
      <c r="H172" s="5" t="s">
        <v>1028</v>
      </c>
      <c r="I172" s="5">
        <v>0</v>
      </c>
      <c r="J172" s="6"/>
      <c r="K172" s="5"/>
    </row>
    <row r="173" spans="1:11" ht="19.05" customHeight="1">
      <c r="A173" s="5" t="s">
        <v>2153</v>
      </c>
      <c r="B173" s="5" t="s">
        <v>25</v>
      </c>
      <c r="C173" s="5" t="s">
        <v>4340</v>
      </c>
      <c r="D173" s="5" t="s">
        <v>72</v>
      </c>
      <c r="E173" s="5" t="s">
        <v>16</v>
      </c>
      <c r="F173" s="5" t="s">
        <v>20</v>
      </c>
      <c r="G173" s="5" t="s">
        <v>59</v>
      </c>
      <c r="H173" s="5" t="s">
        <v>2163</v>
      </c>
      <c r="I173" s="5">
        <v>0</v>
      </c>
      <c r="J173" s="6"/>
      <c r="K173" s="5"/>
    </row>
    <row r="174" spans="1:11" ht="19.05" customHeight="1">
      <c r="A174" s="5" t="s">
        <v>2165</v>
      </c>
      <c r="B174" s="5" t="s">
        <v>25</v>
      </c>
      <c r="C174" s="5" t="s">
        <v>4341</v>
      </c>
      <c r="D174" s="5" t="s">
        <v>72</v>
      </c>
      <c r="E174" s="5" t="s">
        <v>14</v>
      </c>
      <c r="F174" s="5" t="s">
        <v>16</v>
      </c>
      <c r="G174" s="5" t="s">
        <v>77</v>
      </c>
      <c r="H174" s="5" t="s">
        <v>1150</v>
      </c>
      <c r="I174" s="5">
        <v>0</v>
      </c>
      <c r="J174" s="6"/>
      <c r="K174" s="5"/>
    </row>
    <row r="175" spans="1:11" ht="19.05" customHeight="1">
      <c r="A175" s="5" t="s">
        <v>2177</v>
      </c>
      <c r="B175" s="5" t="s">
        <v>25</v>
      </c>
      <c r="C175" s="5" t="s">
        <v>4342</v>
      </c>
      <c r="D175" s="5" t="s">
        <v>72</v>
      </c>
      <c r="E175" s="5" t="s">
        <v>16</v>
      </c>
      <c r="F175" s="5" t="s">
        <v>18</v>
      </c>
      <c r="G175" s="5" t="s">
        <v>77</v>
      </c>
      <c r="H175" s="5" t="s">
        <v>2188</v>
      </c>
      <c r="I175" s="5">
        <v>0</v>
      </c>
      <c r="J175" s="6"/>
      <c r="K175" s="5"/>
    </row>
    <row r="176" spans="1:11" ht="19.05" customHeight="1">
      <c r="A176" s="5" t="s">
        <v>2190</v>
      </c>
      <c r="B176" s="5" t="s">
        <v>25</v>
      </c>
      <c r="C176" s="5" t="s">
        <v>4343</v>
      </c>
      <c r="D176" s="5" t="s">
        <v>72</v>
      </c>
      <c r="E176" s="5" t="s">
        <v>16</v>
      </c>
      <c r="F176" s="5" t="s">
        <v>18</v>
      </c>
      <c r="G176" s="5" t="s">
        <v>77</v>
      </c>
      <c r="H176" s="5" t="s">
        <v>2201</v>
      </c>
      <c r="I176" s="5">
        <v>0</v>
      </c>
      <c r="J176" s="6"/>
      <c r="K176" s="5"/>
    </row>
    <row r="177" spans="1:11" ht="19.05" customHeight="1">
      <c r="A177" s="5" t="s">
        <v>2203</v>
      </c>
      <c r="B177" s="5" t="s">
        <v>25</v>
      </c>
      <c r="C177" s="5" t="s">
        <v>4344</v>
      </c>
      <c r="D177" s="5" t="s">
        <v>72</v>
      </c>
      <c r="E177" s="5" t="s">
        <v>16</v>
      </c>
      <c r="F177" s="5" t="s">
        <v>18</v>
      </c>
      <c r="G177" s="5" t="s">
        <v>77</v>
      </c>
      <c r="H177" s="5" t="s">
        <v>919</v>
      </c>
      <c r="I177" s="5">
        <v>0</v>
      </c>
      <c r="J177" s="6"/>
      <c r="K177" s="5"/>
    </row>
    <row r="178" spans="1:11" ht="19.05" customHeight="1">
      <c r="A178" s="5" t="s">
        <v>2214</v>
      </c>
      <c r="B178" s="5" t="s">
        <v>25</v>
      </c>
      <c r="C178" s="5" t="s">
        <v>4345</v>
      </c>
      <c r="D178" s="5" t="s">
        <v>72</v>
      </c>
      <c r="E178" s="5" t="s">
        <v>14</v>
      </c>
      <c r="F178" s="5" t="s">
        <v>18</v>
      </c>
      <c r="G178" s="5" t="s">
        <v>77</v>
      </c>
      <c r="H178" s="5" t="s">
        <v>760</v>
      </c>
      <c r="I178" s="5">
        <v>0</v>
      </c>
      <c r="J178" s="6"/>
      <c r="K178" s="5"/>
    </row>
    <row r="179" spans="1:11" ht="19.05" customHeight="1">
      <c r="A179" s="5" t="s">
        <v>2226</v>
      </c>
      <c r="B179" s="5" t="s">
        <v>25</v>
      </c>
      <c r="C179" s="5" t="s">
        <v>4346</v>
      </c>
      <c r="D179" s="5" t="s">
        <v>72</v>
      </c>
      <c r="E179" s="5" t="s">
        <v>14</v>
      </c>
      <c r="F179" s="5" t="s">
        <v>18</v>
      </c>
      <c r="G179" s="5" t="s">
        <v>77</v>
      </c>
      <c r="H179" s="5" t="s">
        <v>932</v>
      </c>
      <c r="I179" s="5">
        <v>0</v>
      </c>
      <c r="J179" s="6"/>
      <c r="K179" s="5"/>
    </row>
    <row r="180" spans="1:11" ht="19.05" customHeight="1">
      <c r="A180" s="5" t="s">
        <v>2237</v>
      </c>
      <c r="B180" s="5" t="s">
        <v>25</v>
      </c>
      <c r="C180" s="5" t="s">
        <v>4347</v>
      </c>
      <c r="D180" s="5" t="s">
        <v>72</v>
      </c>
      <c r="E180" s="5" t="s">
        <v>14</v>
      </c>
      <c r="F180" s="5" t="s">
        <v>20</v>
      </c>
      <c r="G180" s="5" t="s">
        <v>77</v>
      </c>
      <c r="H180" s="5" t="s">
        <v>1912</v>
      </c>
      <c r="I180" s="5">
        <v>0</v>
      </c>
      <c r="J180" s="6"/>
      <c r="K180" s="5"/>
    </row>
    <row r="181" spans="1:11" ht="19.05" customHeight="1">
      <c r="A181" s="5" t="s">
        <v>2248</v>
      </c>
      <c r="B181" s="5" t="s">
        <v>25</v>
      </c>
      <c r="C181" s="5" t="s">
        <v>4348</v>
      </c>
      <c r="D181" s="5" t="s">
        <v>72</v>
      </c>
      <c r="E181" s="5" t="s">
        <v>14</v>
      </c>
      <c r="F181" s="5" t="s">
        <v>18</v>
      </c>
      <c r="G181" s="5" t="s">
        <v>59</v>
      </c>
      <c r="H181" s="5" t="s">
        <v>1535</v>
      </c>
      <c r="I181" s="5">
        <v>0</v>
      </c>
      <c r="J181" s="6"/>
      <c r="K181" s="5"/>
    </row>
    <row r="182" spans="1:11" ht="19.05" customHeight="1">
      <c r="A182" s="5" t="s">
        <v>2259</v>
      </c>
      <c r="B182" s="5" t="s">
        <v>27</v>
      </c>
      <c r="C182" s="5" t="s">
        <v>4349</v>
      </c>
      <c r="D182" s="5" t="s">
        <v>72</v>
      </c>
      <c r="E182" s="5" t="s">
        <v>14</v>
      </c>
      <c r="F182" s="5" t="s">
        <v>18</v>
      </c>
      <c r="G182" s="5" t="s">
        <v>77</v>
      </c>
      <c r="H182" s="5" t="s">
        <v>2270</v>
      </c>
      <c r="I182" s="5">
        <v>0</v>
      </c>
      <c r="J182" s="6"/>
      <c r="K182" s="5"/>
    </row>
    <row r="183" spans="1:11" ht="19.05" customHeight="1">
      <c r="A183" s="5" t="s">
        <v>2272</v>
      </c>
      <c r="B183" s="5" t="s">
        <v>27</v>
      </c>
      <c r="C183" s="5" t="s">
        <v>4350</v>
      </c>
      <c r="D183" s="5" t="s">
        <v>72</v>
      </c>
      <c r="E183" s="5" t="s">
        <v>14</v>
      </c>
      <c r="F183" s="5" t="s">
        <v>20</v>
      </c>
      <c r="G183" s="5" t="s">
        <v>59</v>
      </c>
      <c r="H183" s="5" t="s">
        <v>2282</v>
      </c>
      <c r="I183" s="5">
        <v>0</v>
      </c>
      <c r="J183" s="6"/>
      <c r="K183" s="5"/>
    </row>
    <row r="184" spans="1:11" ht="19.05" customHeight="1">
      <c r="A184" s="5" t="s">
        <v>2284</v>
      </c>
      <c r="B184" s="5" t="s">
        <v>27</v>
      </c>
      <c r="C184" s="5" t="s">
        <v>4351</v>
      </c>
      <c r="D184" s="5" t="s">
        <v>72</v>
      </c>
      <c r="E184" s="5" t="s">
        <v>20</v>
      </c>
      <c r="F184" s="5" t="s">
        <v>20</v>
      </c>
      <c r="G184" s="5" t="s">
        <v>59</v>
      </c>
      <c r="H184" s="5" t="s">
        <v>2295</v>
      </c>
      <c r="I184" s="5">
        <v>0</v>
      </c>
      <c r="J184" s="6"/>
      <c r="K184" s="5"/>
    </row>
    <row r="185" spans="1:11" ht="19.05" customHeight="1">
      <c r="A185" s="5" t="s">
        <v>2297</v>
      </c>
      <c r="B185" s="5" t="s">
        <v>27</v>
      </c>
      <c r="C185" s="5" t="s">
        <v>4352</v>
      </c>
      <c r="D185" s="5" t="s">
        <v>72</v>
      </c>
      <c r="E185" s="5" t="s">
        <v>14</v>
      </c>
      <c r="F185" s="5" t="s">
        <v>18</v>
      </c>
      <c r="G185" s="5" t="s">
        <v>77</v>
      </c>
      <c r="H185" s="5" t="s">
        <v>2308</v>
      </c>
      <c r="I185" s="5">
        <v>0</v>
      </c>
      <c r="J185" s="6"/>
      <c r="K185" s="5"/>
    </row>
    <row r="186" spans="1:11" ht="19.05" customHeight="1">
      <c r="A186" s="5" t="s">
        <v>2310</v>
      </c>
      <c r="B186" s="5" t="s">
        <v>27</v>
      </c>
      <c r="C186" s="5" t="s">
        <v>4353</v>
      </c>
      <c r="D186" s="5" t="s">
        <v>72</v>
      </c>
      <c r="E186" s="5" t="s">
        <v>14</v>
      </c>
      <c r="F186" s="5" t="s">
        <v>20</v>
      </c>
      <c r="G186" s="5" t="s">
        <v>59</v>
      </c>
      <c r="H186" s="5" t="s">
        <v>2320</v>
      </c>
      <c r="I186" s="5">
        <v>0</v>
      </c>
      <c r="J186" s="6"/>
      <c r="K186" s="5"/>
    </row>
    <row r="187" spans="1:11" ht="19.05" customHeight="1">
      <c r="A187" s="5" t="s">
        <v>2323</v>
      </c>
      <c r="B187" s="5" t="s">
        <v>27</v>
      </c>
      <c r="C187" s="5" t="s">
        <v>4354</v>
      </c>
      <c r="D187" s="5" t="s">
        <v>72</v>
      </c>
      <c r="E187" s="5" t="s">
        <v>20</v>
      </c>
      <c r="F187" s="5" t="s">
        <v>20</v>
      </c>
      <c r="G187" s="5" t="s">
        <v>59</v>
      </c>
      <c r="H187" s="5" t="s">
        <v>2333</v>
      </c>
      <c r="I187" s="5">
        <v>0</v>
      </c>
      <c r="J187" s="6"/>
      <c r="K187" s="5"/>
    </row>
    <row r="188" spans="1:11" ht="19.05" customHeight="1">
      <c r="A188" s="5" t="s">
        <v>2335</v>
      </c>
      <c r="B188" s="5" t="s">
        <v>27</v>
      </c>
      <c r="C188" s="5" t="s">
        <v>4355</v>
      </c>
      <c r="D188" s="5" t="s">
        <v>72</v>
      </c>
      <c r="E188" s="5" t="s">
        <v>16</v>
      </c>
      <c r="F188" s="5" t="s">
        <v>18</v>
      </c>
      <c r="G188" s="5" t="s">
        <v>77</v>
      </c>
      <c r="H188" s="5" t="s">
        <v>2345</v>
      </c>
      <c r="I188" s="5">
        <v>0</v>
      </c>
      <c r="J188" s="6"/>
      <c r="K188" s="5"/>
    </row>
    <row r="189" spans="1:11" ht="19.05" customHeight="1">
      <c r="A189" s="5" t="s">
        <v>2347</v>
      </c>
      <c r="B189" s="5" t="s">
        <v>27</v>
      </c>
      <c r="C189" s="5" t="s">
        <v>4356</v>
      </c>
      <c r="D189" s="5" t="s">
        <v>72</v>
      </c>
      <c r="E189" s="5" t="s">
        <v>16</v>
      </c>
      <c r="F189" s="5" t="s">
        <v>20</v>
      </c>
      <c r="G189" s="5" t="s">
        <v>59</v>
      </c>
      <c r="H189" s="5" t="s">
        <v>2357</v>
      </c>
      <c r="I189" s="5">
        <v>0</v>
      </c>
      <c r="J189" s="6"/>
      <c r="K189" s="5"/>
    </row>
    <row r="190" spans="1:11" ht="19.05" customHeight="1">
      <c r="A190" s="5" t="s">
        <v>2359</v>
      </c>
      <c r="B190" s="5" t="s">
        <v>27</v>
      </c>
      <c r="C190" s="5" t="s">
        <v>4357</v>
      </c>
      <c r="D190" s="5" t="s">
        <v>72</v>
      </c>
      <c r="E190" s="5" t="s">
        <v>14</v>
      </c>
      <c r="F190" s="5" t="s">
        <v>20</v>
      </c>
      <c r="G190" s="5" t="s">
        <v>59</v>
      </c>
      <c r="H190" s="5" t="s">
        <v>979</v>
      </c>
      <c r="I190" s="5">
        <v>0</v>
      </c>
      <c r="J190" s="6"/>
      <c r="K190" s="5"/>
    </row>
    <row r="191" spans="1:11" ht="19.05" customHeight="1">
      <c r="A191" s="5" t="s">
        <v>2372</v>
      </c>
      <c r="B191" s="5" t="s">
        <v>27</v>
      </c>
      <c r="C191" s="5" t="s">
        <v>4358</v>
      </c>
      <c r="D191" s="5" t="s">
        <v>72</v>
      </c>
      <c r="E191" s="5" t="s">
        <v>16</v>
      </c>
      <c r="F191" s="5" t="s">
        <v>16</v>
      </c>
      <c r="G191" s="5" t="s">
        <v>77</v>
      </c>
      <c r="H191" s="5" t="s">
        <v>2188</v>
      </c>
      <c r="I191" s="5">
        <v>0</v>
      </c>
      <c r="J191" s="6"/>
      <c r="K191" s="5"/>
    </row>
    <row r="192" spans="1:11" ht="19.05" customHeight="1">
      <c r="A192" s="5" t="s">
        <v>2384</v>
      </c>
      <c r="B192" s="5" t="s">
        <v>27</v>
      </c>
      <c r="C192" s="5" t="s">
        <v>4359</v>
      </c>
      <c r="D192" s="5" t="s">
        <v>72</v>
      </c>
      <c r="E192" s="5" t="s">
        <v>16</v>
      </c>
      <c r="F192" s="5" t="s">
        <v>16</v>
      </c>
      <c r="G192" s="5" t="s">
        <v>77</v>
      </c>
      <c r="H192" s="5" t="s">
        <v>1028</v>
      </c>
      <c r="I192" s="5">
        <v>0</v>
      </c>
      <c r="J192" s="6"/>
      <c r="K192" s="5"/>
    </row>
    <row r="193" spans="1:11" ht="19.05" customHeight="1">
      <c r="A193" s="5" t="s">
        <v>2395</v>
      </c>
      <c r="B193" s="5" t="s">
        <v>27</v>
      </c>
      <c r="C193" s="5" t="s">
        <v>4360</v>
      </c>
      <c r="D193" s="5" t="s">
        <v>72</v>
      </c>
      <c r="E193" s="5" t="s">
        <v>20</v>
      </c>
      <c r="F193" s="5" t="s">
        <v>20</v>
      </c>
      <c r="G193" s="5" t="s">
        <v>2398</v>
      </c>
      <c r="H193" s="5" t="s">
        <v>919</v>
      </c>
      <c r="I193" s="5">
        <v>0</v>
      </c>
      <c r="J193" s="6"/>
      <c r="K193" s="5"/>
    </row>
    <row r="194" spans="1:11" ht="19.05" customHeight="1">
      <c r="A194" s="5" t="s">
        <v>2407</v>
      </c>
      <c r="B194" s="5" t="s">
        <v>27</v>
      </c>
      <c r="C194" s="5" t="s">
        <v>4361</v>
      </c>
      <c r="D194" s="5" t="s">
        <v>72</v>
      </c>
      <c r="E194" s="5" t="s">
        <v>22</v>
      </c>
      <c r="F194" s="5" t="s">
        <v>20</v>
      </c>
      <c r="G194" s="5" t="s">
        <v>2410</v>
      </c>
      <c r="H194" s="5" t="s">
        <v>2417</v>
      </c>
      <c r="I194" s="5">
        <v>0</v>
      </c>
      <c r="J194" s="6"/>
      <c r="K194" s="5"/>
    </row>
    <row r="195" spans="1:11" ht="19.05" customHeight="1">
      <c r="A195" s="5" t="s">
        <v>2419</v>
      </c>
      <c r="B195" s="5" t="s">
        <v>27</v>
      </c>
      <c r="C195" s="5" t="s">
        <v>4362</v>
      </c>
      <c r="D195" s="5" t="s">
        <v>72</v>
      </c>
      <c r="E195" s="5" t="s">
        <v>18</v>
      </c>
      <c r="F195" s="5" t="s">
        <v>18</v>
      </c>
      <c r="G195" s="5" t="s">
        <v>77</v>
      </c>
      <c r="H195" s="5" t="s">
        <v>919</v>
      </c>
      <c r="I195" s="5">
        <v>0</v>
      </c>
      <c r="J195" s="6"/>
      <c r="K195" s="5"/>
    </row>
    <row r="196" spans="1:11" ht="19.05" customHeight="1">
      <c r="A196" s="5" t="s">
        <v>2432</v>
      </c>
      <c r="B196" s="5" t="s">
        <v>27</v>
      </c>
      <c r="C196" s="5" t="s">
        <v>4363</v>
      </c>
      <c r="D196" s="5" t="s">
        <v>72</v>
      </c>
      <c r="E196" s="5" t="s">
        <v>16</v>
      </c>
      <c r="F196" s="5" t="s">
        <v>18</v>
      </c>
      <c r="G196" s="5" t="s">
        <v>77</v>
      </c>
      <c r="H196" s="5" t="s">
        <v>919</v>
      </c>
      <c r="I196" s="5">
        <v>0</v>
      </c>
      <c r="J196" s="6"/>
      <c r="K196" s="5"/>
    </row>
    <row r="197" spans="1:11" ht="19.05" customHeight="1">
      <c r="A197" s="5" t="s">
        <v>2444</v>
      </c>
      <c r="B197" s="5" t="s">
        <v>27</v>
      </c>
      <c r="C197" s="5" t="s">
        <v>4364</v>
      </c>
      <c r="D197" s="5" t="s">
        <v>72</v>
      </c>
      <c r="E197" s="5" t="s">
        <v>18</v>
      </c>
      <c r="F197" s="5" t="s">
        <v>18</v>
      </c>
      <c r="G197" s="5" t="s">
        <v>77</v>
      </c>
      <c r="H197" s="5" t="s">
        <v>919</v>
      </c>
      <c r="I197" s="5">
        <v>0</v>
      </c>
      <c r="J197" s="6"/>
      <c r="K197" s="5"/>
    </row>
    <row r="198" spans="1:11" ht="19.05" customHeight="1">
      <c r="A198" s="5" t="s">
        <v>2455</v>
      </c>
      <c r="B198" s="5" t="s">
        <v>27</v>
      </c>
      <c r="C198" s="5" t="s">
        <v>4365</v>
      </c>
      <c r="D198" s="5" t="s">
        <v>72</v>
      </c>
      <c r="E198" s="5" t="s">
        <v>16</v>
      </c>
      <c r="F198" s="5" t="s">
        <v>18</v>
      </c>
      <c r="G198" s="5" t="s">
        <v>77</v>
      </c>
      <c r="H198" s="5" t="s">
        <v>919</v>
      </c>
      <c r="I198" s="5">
        <v>0</v>
      </c>
      <c r="J198" s="6"/>
      <c r="K198" s="5"/>
    </row>
    <row r="199" spans="1:11" ht="19.05" customHeight="1">
      <c r="A199" s="5" t="s">
        <v>2466</v>
      </c>
      <c r="B199" s="5" t="s">
        <v>27</v>
      </c>
      <c r="C199" s="5" t="s">
        <v>4366</v>
      </c>
      <c r="D199" s="5" t="s">
        <v>72</v>
      </c>
      <c r="E199" s="5" t="s">
        <v>18</v>
      </c>
      <c r="F199" s="5" t="s">
        <v>16</v>
      </c>
      <c r="G199" s="5" t="s">
        <v>77</v>
      </c>
      <c r="H199" s="5" t="s">
        <v>2477</v>
      </c>
      <c r="I199" s="5">
        <v>0</v>
      </c>
      <c r="J199" s="6"/>
      <c r="K199" s="5"/>
    </row>
    <row r="200" spans="1:11" ht="19.05" customHeight="1">
      <c r="A200" s="5" t="s">
        <v>2479</v>
      </c>
      <c r="B200" s="5" t="s">
        <v>27</v>
      </c>
      <c r="C200" s="5" t="s">
        <v>4367</v>
      </c>
      <c r="D200" s="5" t="s">
        <v>72</v>
      </c>
      <c r="E200" s="5" t="s">
        <v>18</v>
      </c>
      <c r="F200" s="5" t="s">
        <v>18</v>
      </c>
      <c r="G200" s="5" t="s">
        <v>77</v>
      </c>
      <c r="H200" s="5" t="s">
        <v>919</v>
      </c>
      <c r="I200" s="5">
        <v>0</v>
      </c>
      <c r="J200" s="6"/>
      <c r="K200" s="5"/>
    </row>
    <row r="201" spans="1:11" ht="19.05" customHeight="1">
      <c r="A201" s="5" t="s">
        <v>2491</v>
      </c>
      <c r="B201" s="5" t="s">
        <v>27</v>
      </c>
      <c r="C201" s="5" t="s">
        <v>4368</v>
      </c>
      <c r="D201" s="5" t="s">
        <v>72</v>
      </c>
      <c r="E201" s="5" t="s">
        <v>20</v>
      </c>
      <c r="F201" s="5" t="s">
        <v>18</v>
      </c>
      <c r="G201" s="5" t="s">
        <v>77</v>
      </c>
      <c r="H201" s="5" t="s">
        <v>919</v>
      </c>
      <c r="I201" s="5">
        <v>0</v>
      </c>
      <c r="J201" s="6"/>
      <c r="K201" s="5"/>
    </row>
    <row r="202" spans="1:11" ht="19.05" customHeight="1">
      <c r="A202" s="5" t="s">
        <v>2501</v>
      </c>
      <c r="B202" s="5" t="s">
        <v>27</v>
      </c>
      <c r="C202" s="5" t="s">
        <v>4369</v>
      </c>
      <c r="D202" s="5" t="s">
        <v>72</v>
      </c>
      <c r="E202" s="5" t="s">
        <v>16</v>
      </c>
      <c r="F202" s="5" t="s">
        <v>16</v>
      </c>
      <c r="G202" s="5" t="s">
        <v>77</v>
      </c>
      <c r="H202" s="5" t="s">
        <v>139</v>
      </c>
      <c r="I202" s="5">
        <v>0</v>
      </c>
      <c r="J202" s="6"/>
      <c r="K202" s="5"/>
    </row>
    <row r="203" spans="1:11" ht="19.05" customHeight="1">
      <c r="A203" s="5" t="s">
        <v>2513</v>
      </c>
      <c r="B203" s="5" t="s">
        <v>27</v>
      </c>
      <c r="C203" s="5" t="s">
        <v>4370</v>
      </c>
      <c r="D203" s="5" t="s">
        <v>72</v>
      </c>
      <c r="E203" s="5" t="s">
        <v>16</v>
      </c>
      <c r="F203" s="5" t="s">
        <v>18</v>
      </c>
      <c r="G203" s="5" t="s">
        <v>77</v>
      </c>
      <c r="H203" s="5" t="s">
        <v>1054</v>
      </c>
      <c r="I203" s="5">
        <v>0</v>
      </c>
      <c r="J203" s="6"/>
      <c r="K203" s="5"/>
    </row>
    <row r="204" spans="1:11" ht="19.05" customHeight="1">
      <c r="A204" s="5" t="s">
        <v>2524</v>
      </c>
      <c r="B204" s="5" t="s">
        <v>27</v>
      </c>
      <c r="C204" s="5" t="s">
        <v>4371</v>
      </c>
      <c r="D204" s="5" t="s">
        <v>72</v>
      </c>
      <c r="E204" s="5" t="s">
        <v>18</v>
      </c>
      <c r="F204" s="5" t="s">
        <v>20</v>
      </c>
      <c r="G204" s="5" t="s">
        <v>2527</v>
      </c>
      <c r="H204" s="5" t="s">
        <v>919</v>
      </c>
      <c r="I204" s="5">
        <v>0</v>
      </c>
      <c r="J204" s="6"/>
      <c r="K204" s="5"/>
    </row>
    <row r="205" spans="1:11" ht="19.05" customHeight="1">
      <c r="A205" s="5" t="s">
        <v>2536</v>
      </c>
      <c r="B205" s="5" t="s">
        <v>27</v>
      </c>
      <c r="C205" s="5" t="s">
        <v>4372</v>
      </c>
      <c r="D205" s="5" t="s">
        <v>72</v>
      </c>
      <c r="E205" s="5" t="s">
        <v>14</v>
      </c>
      <c r="F205" s="5" t="s">
        <v>16</v>
      </c>
      <c r="G205" s="5" t="s">
        <v>77</v>
      </c>
      <c r="H205" s="5" t="s">
        <v>2547</v>
      </c>
      <c r="I205" s="5">
        <v>0</v>
      </c>
      <c r="J205" s="6"/>
      <c r="K205" s="5"/>
    </row>
    <row r="206" spans="1:11" ht="19.05" customHeight="1">
      <c r="A206" s="5" t="s">
        <v>2549</v>
      </c>
      <c r="B206" s="5" t="s">
        <v>27</v>
      </c>
      <c r="C206" s="5" t="s">
        <v>4373</v>
      </c>
      <c r="D206" s="5" t="s">
        <v>72</v>
      </c>
      <c r="E206" s="5" t="s">
        <v>16</v>
      </c>
      <c r="F206" s="5" t="s">
        <v>18</v>
      </c>
      <c r="G206" s="5" t="s">
        <v>77</v>
      </c>
      <c r="H206" s="5" t="s">
        <v>2559</v>
      </c>
      <c r="I206" s="5">
        <v>0</v>
      </c>
      <c r="J206" s="6"/>
      <c r="K206" s="5"/>
    </row>
    <row r="207" spans="1:11" ht="19.05" customHeight="1">
      <c r="A207" s="5" t="s">
        <v>2561</v>
      </c>
      <c r="B207" s="5" t="s">
        <v>27</v>
      </c>
      <c r="C207" s="5" t="s">
        <v>4374</v>
      </c>
      <c r="D207" s="5" t="s">
        <v>72</v>
      </c>
      <c r="E207" s="5" t="s">
        <v>14</v>
      </c>
      <c r="F207" s="5" t="s">
        <v>16</v>
      </c>
      <c r="G207" s="5" t="s">
        <v>77</v>
      </c>
      <c r="H207" s="5" t="s">
        <v>2571</v>
      </c>
      <c r="I207" s="5">
        <v>0</v>
      </c>
      <c r="J207" s="6"/>
      <c r="K207" s="5"/>
    </row>
    <row r="208" spans="1:11" ht="19.05" customHeight="1">
      <c r="A208" s="5" t="s">
        <v>2573</v>
      </c>
      <c r="B208" s="5" t="s">
        <v>27</v>
      </c>
      <c r="C208" s="5" t="s">
        <v>4375</v>
      </c>
      <c r="D208" s="5" t="s">
        <v>72</v>
      </c>
      <c r="E208" s="5" t="s">
        <v>14</v>
      </c>
      <c r="F208" s="5" t="s">
        <v>18</v>
      </c>
      <c r="G208" s="5" t="s">
        <v>77</v>
      </c>
      <c r="H208" s="5" t="s">
        <v>2357</v>
      </c>
      <c r="I208" s="5">
        <v>0</v>
      </c>
      <c r="J208" s="6"/>
      <c r="K208" s="5"/>
    </row>
    <row r="209" spans="1:11" ht="19.05" customHeight="1">
      <c r="A209" s="5" t="s">
        <v>2583</v>
      </c>
      <c r="B209" s="5" t="s">
        <v>27</v>
      </c>
      <c r="C209" s="5" t="s">
        <v>4376</v>
      </c>
      <c r="D209" s="5" t="s">
        <v>72</v>
      </c>
      <c r="E209" s="5" t="s">
        <v>14</v>
      </c>
      <c r="F209" s="5" t="s">
        <v>18</v>
      </c>
      <c r="G209" s="5" t="s">
        <v>77</v>
      </c>
      <c r="H209" s="5" t="s">
        <v>2594</v>
      </c>
      <c r="I209" s="5">
        <v>0</v>
      </c>
      <c r="J209" s="6"/>
      <c r="K209" s="5"/>
    </row>
    <row r="210" spans="1:11" ht="19.05" customHeight="1">
      <c r="A210" s="5" t="s">
        <v>2596</v>
      </c>
      <c r="B210" s="5" t="s">
        <v>27</v>
      </c>
      <c r="C210" s="5" t="s">
        <v>4377</v>
      </c>
      <c r="D210" s="5" t="s">
        <v>72</v>
      </c>
      <c r="E210" s="5" t="s">
        <v>16</v>
      </c>
      <c r="F210" s="5" t="s">
        <v>18</v>
      </c>
      <c r="G210" s="5" t="s">
        <v>77</v>
      </c>
      <c r="H210" s="5" t="s">
        <v>919</v>
      </c>
      <c r="I210" s="5">
        <v>0</v>
      </c>
      <c r="J210" s="6"/>
      <c r="K210" s="5"/>
    </row>
    <row r="211" spans="1:11" ht="19.05" customHeight="1">
      <c r="A211" s="5" t="s">
        <v>2607</v>
      </c>
      <c r="B211" s="5" t="s">
        <v>27</v>
      </c>
      <c r="C211" s="5" t="s">
        <v>4378</v>
      </c>
      <c r="D211" s="5" t="s">
        <v>72</v>
      </c>
      <c r="E211" s="5" t="s">
        <v>14</v>
      </c>
      <c r="F211" s="5" t="s">
        <v>16</v>
      </c>
      <c r="G211" s="5" t="s">
        <v>77</v>
      </c>
      <c r="H211" s="5" t="s">
        <v>919</v>
      </c>
      <c r="I211" s="5">
        <v>0</v>
      </c>
      <c r="J211" s="6"/>
      <c r="K211" s="5"/>
    </row>
    <row r="212" spans="1:11" ht="19.05" customHeight="1">
      <c r="A212" s="5" t="s">
        <v>2618</v>
      </c>
      <c r="B212" s="5" t="s">
        <v>29</v>
      </c>
      <c r="C212" s="5" t="s">
        <v>4379</v>
      </c>
      <c r="D212" s="5" t="s">
        <v>72</v>
      </c>
      <c r="E212" s="5" t="s">
        <v>18</v>
      </c>
      <c r="F212" s="5" t="s">
        <v>18</v>
      </c>
      <c r="G212" s="5" t="s">
        <v>77</v>
      </c>
      <c r="H212" s="5" t="s">
        <v>2630</v>
      </c>
      <c r="I212" s="5">
        <v>0</v>
      </c>
      <c r="J212" s="6"/>
      <c r="K212" s="5"/>
    </row>
    <row r="213" spans="1:11" ht="19.05" customHeight="1">
      <c r="A213" s="5" t="s">
        <v>2632</v>
      </c>
      <c r="B213" s="5" t="s">
        <v>29</v>
      </c>
      <c r="C213" s="5" t="s">
        <v>4380</v>
      </c>
      <c r="D213" s="5" t="s">
        <v>72</v>
      </c>
      <c r="E213" s="5" t="s">
        <v>16</v>
      </c>
      <c r="F213" s="5" t="s">
        <v>18</v>
      </c>
      <c r="G213" s="5" t="s">
        <v>77</v>
      </c>
      <c r="H213" s="5" t="s">
        <v>2642</v>
      </c>
      <c r="I213" s="5">
        <v>0</v>
      </c>
      <c r="J213" s="6"/>
      <c r="K213" s="5"/>
    </row>
    <row r="214" spans="1:11" ht="19.05" customHeight="1">
      <c r="A214" s="5" t="s">
        <v>2644</v>
      </c>
      <c r="B214" s="5" t="s">
        <v>29</v>
      </c>
      <c r="C214" s="5" t="s">
        <v>4381</v>
      </c>
      <c r="D214" s="5" t="s">
        <v>72</v>
      </c>
      <c r="E214" s="5" t="s">
        <v>20</v>
      </c>
      <c r="F214" s="5" t="s">
        <v>18</v>
      </c>
      <c r="G214" s="5" t="s">
        <v>77</v>
      </c>
      <c r="H214" s="5" t="s">
        <v>919</v>
      </c>
      <c r="I214" s="5">
        <v>0</v>
      </c>
      <c r="J214" s="6"/>
      <c r="K214" s="5"/>
    </row>
    <row r="215" spans="1:11" ht="19.05" customHeight="1">
      <c r="A215" s="5" t="s">
        <v>2655</v>
      </c>
      <c r="B215" s="5" t="s">
        <v>29</v>
      </c>
      <c r="C215" s="5" t="s">
        <v>4382</v>
      </c>
      <c r="D215" s="5" t="s">
        <v>72</v>
      </c>
      <c r="E215" s="5" t="s">
        <v>18</v>
      </c>
      <c r="F215" s="5" t="s">
        <v>18</v>
      </c>
      <c r="G215" s="5" t="s">
        <v>77</v>
      </c>
      <c r="H215" s="5" t="s">
        <v>919</v>
      </c>
      <c r="I215" s="5">
        <v>0</v>
      </c>
      <c r="J215" s="6"/>
      <c r="K215" s="5"/>
    </row>
    <row r="216" spans="1:11" ht="19.05" customHeight="1">
      <c r="A216" s="5" t="s">
        <v>2668</v>
      </c>
      <c r="B216" s="5" t="s">
        <v>29</v>
      </c>
      <c r="C216" s="5" t="s">
        <v>4383</v>
      </c>
      <c r="D216" s="5" t="s">
        <v>72</v>
      </c>
      <c r="E216" s="5" t="s">
        <v>14</v>
      </c>
      <c r="F216" s="5" t="s">
        <v>16</v>
      </c>
      <c r="G216" s="5" t="s">
        <v>77</v>
      </c>
      <c r="H216" s="5" t="s">
        <v>1005</v>
      </c>
      <c r="I216" s="5">
        <v>0</v>
      </c>
      <c r="J216" s="6"/>
      <c r="K216" s="5"/>
    </row>
    <row r="217" spans="1:11" ht="19.05" customHeight="1">
      <c r="A217" s="5" t="s">
        <v>2679</v>
      </c>
      <c r="B217" s="5" t="s">
        <v>29</v>
      </c>
      <c r="C217" s="5" t="s">
        <v>4384</v>
      </c>
      <c r="D217" s="5" t="s">
        <v>72</v>
      </c>
      <c r="E217" s="5" t="s">
        <v>16</v>
      </c>
      <c r="F217" s="5" t="s">
        <v>18</v>
      </c>
      <c r="G217" s="5" t="s">
        <v>77</v>
      </c>
      <c r="H217" s="5" t="s">
        <v>919</v>
      </c>
      <c r="I217" s="5">
        <v>0</v>
      </c>
      <c r="J217" s="6"/>
      <c r="K217" s="5"/>
    </row>
    <row r="218" spans="1:11" ht="19.05" customHeight="1">
      <c r="A218" s="5" t="s">
        <v>2690</v>
      </c>
      <c r="B218" s="5" t="s">
        <v>29</v>
      </c>
      <c r="C218" s="5" t="s">
        <v>4385</v>
      </c>
      <c r="D218" s="5" t="s">
        <v>72</v>
      </c>
      <c r="E218" s="5" t="s">
        <v>14</v>
      </c>
      <c r="F218" s="5" t="s">
        <v>16</v>
      </c>
      <c r="G218" s="5" t="s">
        <v>77</v>
      </c>
      <c r="H218" s="5" t="s">
        <v>126</v>
      </c>
      <c r="I218" s="5">
        <v>0</v>
      </c>
      <c r="J218" s="6"/>
      <c r="K218" s="5"/>
    </row>
    <row r="219" spans="1:11" ht="19.05" customHeight="1">
      <c r="A219" s="5" t="s">
        <v>2702</v>
      </c>
      <c r="B219" s="5" t="s">
        <v>29</v>
      </c>
      <c r="C219" s="5" t="s">
        <v>4386</v>
      </c>
      <c r="D219" s="5" t="s">
        <v>72</v>
      </c>
      <c r="E219" s="5" t="s">
        <v>14</v>
      </c>
      <c r="F219" s="5" t="s">
        <v>20</v>
      </c>
      <c r="G219" s="5" t="s">
        <v>59</v>
      </c>
      <c r="H219" s="5" t="s">
        <v>2712</v>
      </c>
      <c r="I219" s="5">
        <v>0</v>
      </c>
      <c r="J219" s="6"/>
      <c r="K219" s="5"/>
    </row>
    <row r="220" spans="1:11" ht="19.05" customHeight="1">
      <c r="A220" s="5" t="s">
        <v>2714</v>
      </c>
      <c r="B220" s="5" t="s">
        <v>29</v>
      </c>
      <c r="C220" s="5" t="s">
        <v>4387</v>
      </c>
      <c r="D220" s="5" t="s">
        <v>72</v>
      </c>
      <c r="E220" s="5" t="s">
        <v>16</v>
      </c>
      <c r="F220" s="5" t="s">
        <v>18</v>
      </c>
      <c r="G220" s="5" t="s">
        <v>77</v>
      </c>
      <c r="H220" s="5" t="s">
        <v>771</v>
      </c>
      <c r="I220" s="5">
        <v>0</v>
      </c>
      <c r="J220" s="6"/>
      <c r="K220" s="5"/>
    </row>
    <row r="221" spans="1:11" ht="19.05" customHeight="1">
      <c r="A221" s="5" t="s">
        <v>2726</v>
      </c>
      <c r="B221" s="5" t="s">
        <v>29</v>
      </c>
      <c r="C221" s="5" t="s">
        <v>4388</v>
      </c>
      <c r="D221" s="5" t="s">
        <v>72</v>
      </c>
      <c r="E221" s="5" t="s">
        <v>16</v>
      </c>
      <c r="F221" s="5" t="s">
        <v>16</v>
      </c>
      <c r="G221" s="5" t="s">
        <v>77</v>
      </c>
      <c r="H221" s="5" t="s">
        <v>2737</v>
      </c>
      <c r="I221" s="5">
        <v>0</v>
      </c>
      <c r="J221" s="6"/>
      <c r="K221" s="5"/>
    </row>
    <row r="222" spans="1:11" ht="19.05" customHeight="1">
      <c r="A222" s="5" t="s">
        <v>2739</v>
      </c>
      <c r="B222" s="5" t="s">
        <v>29</v>
      </c>
      <c r="C222" s="5" t="s">
        <v>4389</v>
      </c>
      <c r="D222" s="5" t="s">
        <v>72</v>
      </c>
      <c r="E222" s="5" t="s">
        <v>16</v>
      </c>
      <c r="F222" s="5" t="s">
        <v>20</v>
      </c>
      <c r="G222" s="5" t="s">
        <v>77</v>
      </c>
      <c r="H222" s="5" t="s">
        <v>2750</v>
      </c>
      <c r="I222" s="5">
        <v>0</v>
      </c>
      <c r="J222" s="6"/>
      <c r="K222" s="5"/>
    </row>
    <row r="223" spans="1:11" ht="19.05" customHeight="1">
      <c r="A223" s="5" t="s">
        <v>2752</v>
      </c>
      <c r="B223" s="5" t="s">
        <v>29</v>
      </c>
      <c r="C223" s="5" t="s">
        <v>4390</v>
      </c>
      <c r="D223" s="5" t="s">
        <v>72</v>
      </c>
      <c r="E223" s="5" t="s">
        <v>16</v>
      </c>
      <c r="F223" s="5" t="s">
        <v>20</v>
      </c>
      <c r="G223" s="5" t="s">
        <v>77</v>
      </c>
      <c r="H223" s="5" t="s">
        <v>2762</v>
      </c>
      <c r="I223" s="5">
        <v>0</v>
      </c>
      <c r="J223" s="6"/>
      <c r="K223" s="5"/>
    </row>
    <row r="224" spans="1:11" ht="19.05" customHeight="1">
      <c r="A224" s="5" t="s">
        <v>2764</v>
      </c>
      <c r="B224" s="5" t="s">
        <v>29</v>
      </c>
      <c r="C224" s="5" t="s">
        <v>4391</v>
      </c>
      <c r="D224" s="5" t="s">
        <v>72</v>
      </c>
      <c r="E224" s="5" t="s">
        <v>14</v>
      </c>
      <c r="F224" s="5" t="s">
        <v>16</v>
      </c>
      <c r="G224" s="5" t="s">
        <v>77</v>
      </c>
      <c r="H224" s="5" t="s">
        <v>1005</v>
      </c>
      <c r="I224" s="5">
        <v>0</v>
      </c>
      <c r="J224" s="6"/>
      <c r="K224" s="5"/>
    </row>
    <row r="225" spans="1:11" ht="19.05" customHeight="1">
      <c r="A225" s="5" t="s">
        <v>2776</v>
      </c>
      <c r="B225" s="5" t="s">
        <v>29</v>
      </c>
      <c r="C225" s="5" t="s">
        <v>4392</v>
      </c>
      <c r="D225" s="5" t="s">
        <v>72</v>
      </c>
      <c r="E225" s="5" t="s">
        <v>14</v>
      </c>
      <c r="F225" s="5" t="s">
        <v>16</v>
      </c>
      <c r="G225" s="5" t="s">
        <v>77</v>
      </c>
      <c r="H225" s="5" t="s">
        <v>1005</v>
      </c>
      <c r="I225" s="5">
        <v>0</v>
      </c>
      <c r="J225" s="6"/>
      <c r="K225" s="5"/>
    </row>
    <row r="226" spans="1:11" ht="19.05" customHeight="1">
      <c r="A226" s="5" t="s">
        <v>2787</v>
      </c>
      <c r="B226" s="5" t="s">
        <v>29</v>
      </c>
      <c r="C226" s="5" t="s">
        <v>4393</v>
      </c>
      <c r="D226" s="5" t="s">
        <v>72</v>
      </c>
      <c r="E226" s="5" t="s">
        <v>22</v>
      </c>
      <c r="F226" s="5" t="s">
        <v>20</v>
      </c>
      <c r="G226" s="5" t="s">
        <v>2790</v>
      </c>
      <c r="H226" s="5" t="s">
        <v>1259</v>
      </c>
      <c r="I226" s="5">
        <v>0</v>
      </c>
      <c r="J226" s="6"/>
      <c r="K226" s="5"/>
    </row>
    <row r="227" spans="1:11" ht="19.05" customHeight="1">
      <c r="A227" s="5" t="s">
        <v>2797</v>
      </c>
      <c r="B227" s="5" t="s">
        <v>29</v>
      </c>
      <c r="C227" s="5" t="s">
        <v>4394</v>
      </c>
      <c r="D227" s="5" t="s">
        <v>72</v>
      </c>
      <c r="E227" s="5" t="s">
        <v>22</v>
      </c>
      <c r="F227" s="5" t="s">
        <v>20</v>
      </c>
      <c r="G227" s="5" t="s">
        <v>2790</v>
      </c>
      <c r="H227" s="5" t="s">
        <v>2806</v>
      </c>
      <c r="I227" s="5">
        <v>0</v>
      </c>
      <c r="J227" s="6"/>
      <c r="K227" s="5"/>
    </row>
    <row r="228" spans="1:11" ht="19.05" customHeight="1">
      <c r="A228" s="5" t="s">
        <v>2808</v>
      </c>
      <c r="B228" s="5" t="s">
        <v>29</v>
      </c>
      <c r="C228" s="5" t="s">
        <v>4395</v>
      </c>
      <c r="D228" s="5" t="s">
        <v>72</v>
      </c>
      <c r="E228" s="5" t="s">
        <v>14</v>
      </c>
      <c r="F228" s="5" t="s">
        <v>16</v>
      </c>
      <c r="G228" s="5" t="s">
        <v>77</v>
      </c>
      <c r="H228" s="5" t="s">
        <v>2818</v>
      </c>
      <c r="I228" s="5">
        <v>0</v>
      </c>
      <c r="J228" s="6"/>
      <c r="K228" s="5"/>
    </row>
    <row r="229" spans="1:11" ht="19.05" customHeight="1">
      <c r="A229" s="5" t="s">
        <v>2820</v>
      </c>
      <c r="B229" s="5" t="s">
        <v>29</v>
      </c>
      <c r="C229" s="5" t="s">
        <v>4396</v>
      </c>
      <c r="D229" s="5" t="s">
        <v>72</v>
      </c>
      <c r="E229" s="5" t="s">
        <v>14</v>
      </c>
      <c r="F229" s="5" t="s">
        <v>18</v>
      </c>
      <c r="G229" s="5" t="s">
        <v>77</v>
      </c>
      <c r="H229" s="5" t="s">
        <v>2571</v>
      </c>
      <c r="I229" s="5">
        <v>0</v>
      </c>
      <c r="J229" s="6"/>
      <c r="K229" s="5"/>
    </row>
    <row r="230" spans="1:11" ht="19.05" customHeight="1">
      <c r="A230" s="5" t="s">
        <v>2831</v>
      </c>
      <c r="B230" s="5" t="s">
        <v>29</v>
      </c>
      <c r="C230" s="5" t="s">
        <v>4397</v>
      </c>
      <c r="D230" s="5" t="s">
        <v>72</v>
      </c>
      <c r="E230" s="5" t="s">
        <v>14</v>
      </c>
      <c r="F230" s="5" t="s">
        <v>18</v>
      </c>
      <c r="G230" s="5" t="s">
        <v>77</v>
      </c>
      <c r="H230" s="5" t="s">
        <v>2818</v>
      </c>
      <c r="I230" s="5">
        <v>0</v>
      </c>
      <c r="J230" s="6"/>
      <c r="K230" s="5"/>
    </row>
    <row r="231" spans="1:11" ht="19.05" customHeight="1">
      <c r="A231" s="5" t="s">
        <v>2842</v>
      </c>
      <c r="B231" s="5" t="s">
        <v>29</v>
      </c>
      <c r="C231" s="5" t="s">
        <v>4398</v>
      </c>
      <c r="D231" s="5" t="s">
        <v>72</v>
      </c>
      <c r="E231" s="5" t="s">
        <v>14</v>
      </c>
      <c r="F231" s="5" t="s">
        <v>18</v>
      </c>
      <c r="G231" s="5" t="s">
        <v>77</v>
      </c>
      <c r="H231" s="5" t="s">
        <v>2853</v>
      </c>
      <c r="I231" s="5">
        <v>0</v>
      </c>
      <c r="J231" s="6"/>
      <c r="K231" s="5"/>
    </row>
    <row r="232" spans="1:11" ht="19.05" customHeight="1">
      <c r="A232" s="5" t="s">
        <v>2855</v>
      </c>
      <c r="B232" s="5" t="s">
        <v>29</v>
      </c>
      <c r="C232" s="5" t="s">
        <v>4399</v>
      </c>
      <c r="D232" s="5" t="s">
        <v>72</v>
      </c>
      <c r="E232" s="5" t="s">
        <v>16</v>
      </c>
      <c r="F232" s="5" t="s">
        <v>18</v>
      </c>
      <c r="G232" s="5" t="s">
        <v>77</v>
      </c>
      <c r="H232" s="5" t="s">
        <v>919</v>
      </c>
      <c r="I232" s="5">
        <v>0</v>
      </c>
      <c r="J232" s="6"/>
      <c r="K232" s="5"/>
    </row>
    <row r="233" spans="1:11" ht="19.05" customHeight="1">
      <c r="A233" s="5" t="s">
        <v>2866</v>
      </c>
      <c r="B233" s="5" t="s">
        <v>29</v>
      </c>
      <c r="C233" s="5" t="s">
        <v>4400</v>
      </c>
      <c r="D233" s="5" t="s">
        <v>72</v>
      </c>
      <c r="E233" s="5" t="s">
        <v>14</v>
      </c>
      <c r="F233" s="5" t="s">
        <v>16</v>
      </c>
      <c r="G233" s="5" t="s">
        <v>77</v>
      </c>
      <c r="H233" s="5" t="s">
        <v>2876</v>
      </c>
      <c r="I233" s="5">
        <v>0</v>
      </c>
      <c r="J233" s="6"/>
      <c r="K233" s="5"/>
    </row>
    <row r="234" spans="1:11" ht="19.05" customHeight="1">
      <c r="A234" s="5" t="s">
        <v>2878</v>
      </c>
      <c r="B234" s="5" t="s">
        <v>29</v>
      </c>
      <c r="C234" s="5" t="s">
        <v>4401</v>
      </c>
      <c r="D234" s="5" t="s">
        <v>72</v>
      </c>
      <c r="E234" s="5" t="s">
        <v>16</v>
      </c>
      <c r="F234" s="5" t="s">
        <v>16</v>
      </c>
      <c r="G234" s="5" t="s">
        <v>77</v>
      </c>
      <c r="H234" s="5" t="s">
        <v>2888</v>
      </c>
      <c r="I234" s="5">
        <v>0</v>
      </c>
      <c r="J234" s="6"/>
      <c r="K234" s="5"/>
    </row>
    <row r="235" spans="1:11" ht="19.05" customHeight="1">
      <c r="A235" s="5" t="s">
        <v>2890</v>
      </c>
      <c r="B235" s="5" t="s">
        <v>29</v>
      </c>
      <c r="C235" s="5" t="s">
        <v>4402</v>
      </c>
      <c r="D235" s="5" t="s">
        <v>72</v>
      </c>
      <c r="E235" s="5" t="s">
        <v>14</v>
      </c>
      <c r="F235" s="5" t="s">
        <v>16</v>
      </c>
      <c r="G235" s="5" t="s">
        <v>77</v>
      </c>
      <c r="H235" s="5" t="s">
        <v>1005</v>
      </c>
      <c r="I235" s="5">
        <v>0</v>
      </c>
      <c r="J235" s="6"/>
      <c r="K235" s="5"/>
    </row>
    <row r="236" spans="1:11" ht="19.05" customHeight="1">
      <c r="A236" s="5" t="s">
        <v>2900</v>
      </c>
      <c r="B236" s="5" t="s">
        <v>29</v>
      </c>
      <c r="C236" s="5" t="s">
        <v>4403</v>
      </c>
      <c r="D236" s="5" t="s">
        <v>72</v>
      </c>
      <c r="E236" s="5" t="s">
        <v>16</v>
      </c>
      <c r="F236" s="5" t="s">
        <v>16</v>
      </c>
      <c r="G236" s="5" t="s">
        <v>77</v>
      </c>
      <c r="H236" s="5" t="s">
        <v>2910</v>
      </c>
      <c r="I236" s="5">
        <v>0</v>
      </c>
      <c r="J236" s="6"/>
      <c r="K236" s="5"/>
    </row>
    <row r="237" spans="1:11" ht="19.05" customHeight="1">
      <c r="A237" s="5" t="s">
        <v>2912</v>
      </c>
      <c r="B237" s="5" t="s">
        <v>29</v>
      </c>
      <c r="C237" s="5" t="s">
        <v>4404</v>
      </c>
      <c r="D237" s="5" t="s">
        <v>72</v>
      </c>
      <c r="E237" s="5" t="s">
        <v>14</v>
      </c>
      <c r="F237" s="5" t="s">
        <v>18</v>
      </c>
      <c r="G237" s="5" t="s">
        <v>77</v>
      </c>
      <c r="H237" s="5" t="s">
        <v>760</v>
      </c>
      <c r="I237" s="5">
        <v>0</v>
      </c>
      <c r="J237" s="6"/>
      <c r="K237" s="5"/>
    </row>
    <row r="238" spans="1:11" ht="19.05" customHeight="1">
      <c r="A238" s="5" t="s">
        <v>2924</v>
      </c>
      <c r="B238" s="5" t="s">
        <v>29</v>
      </c>
      <c r="C238" s="5" t="s">
        <v>4405</v>
      </c>
      <c r="D238" s="5" t="s">
        <v>72</v>
      </c>
      <c r="E238" s="5" t="s">
        <v>16</v>
      </c>
      <c r="F238" s="5" t="s">
        <v>18</v>
      </c>
      <c r="G238" s="5" t="s">
        <v>77</v>
      </c>
      <c r="H238" s="5" t="s">
        <v>919</v>
      </c>
      <c r="I238" s="5">
        <v>0</v>
      </c>
      <c r="J238" s="6"/>
      <c r="K238" s="5"/>
    </row>
    <row r="239" spans="1:11" ht="19.05" customHeight="1">
      <c r="A239" s="5" t="s">
        <v>2934</v>
      </c>
      <c r="B239" s="5" t="s">
        <v>29</v>
      </c>
      <c r="C239" s="5" t="s">
        <v>4406</v>
      </c>
      <c r="D239" s="5" t="s">
        <v>72</v>
      </c>
      <c r="E239" s="5" t="s">
        <v>14</v>
      </c>
      <c r="F239" s="5" t="s">
        <v>18</v>
      </c>
      <c r="G239" s="5" t="s">
        <v>77</v>
      </c>
      <c r="H239" s="5" t="s">
        <v>1005</v>
      </c>
      <c r="I239" s="5">
        <v>0</v>
      </c>
      <c r="J239" s="6"/>
      <c r="K239" s="5"/>
    </row>
    <row r="240" spans="1:11" ht="19.05" customHeight="1">
      <c r="A240" s="5" t="s">
        <v>2944</v>
      </c>
      <c r="B240" s="5" t="s">
        <v>29</v>
      </c>
      <c r="C240" s="5" t="s">
        <v>4407</v>
      </c>
      <c r="D240" s="5" t="s">
        <v>72</v>
      </c>
      <c r="E240" s="5" t="s">
        <v>16</v>
      </c>
      <c r="F240" s="5" t="s">
        <v>18</v>
      </c>
      <c r="G240" s="5" t="s">
        <v>77</v>
      </c>
      <c r="H240" s="5" t="s">
        <v>919</v>
      </c>
      <c r="I240" s="5">
        <v>0</v>
      </c>
      <c r="J240" s="6"/>
      <c r="K240" s="5"/>
    </row>
    <row r="241" spans="1:11" ht="19.05" customHeight="1">
      <c r="A241" s="5" t="s">
        <v>2955</v>
      </c>
      <c r="B241" s="5" t="s">
        <v>29</v>
      </c>
      <c r="C241" s="5" t="s">
        <v>4408</v>
      </c>
      <c r="D241" s="5" t="s">
        <v>72</v>
      </c>
      <c r="E241" s="5" t="s">
        <v>16</v>
      </c>
      <c r="F241" s="5" t="s">
        <v>18</v>
      </c>
      <c r="G241" s="5" t="s">
        <v>77</v>
      </c>
      <c r="H241" s="5" t="s">
        <v>919</v>
      </c>
      <c r="I241" s="5">
        <v>0</v>
      </c>
      <c r="J241" s="6"/>
      <c r="K241" s="5"/>
    </row>
    <row r="242" spans="1:11" ht="19.05" customHeight="1">
      <c r="A242" s="5" t="s">
        <v>2965</v>
      </c>
      <c r="B242" s="5" t="s">
        <v>30</v>
      </c>
      <c r="C242" s="5" t="s">
        <v>4409</v>
      </c>
      <c r="D242" s="5" t="s">
        <v>72</v>
      </c>
      <c r="E242" s="5" t="s">
        <v>18</v>
      </c>
      <c r="F242" s="5" t="s">
        <v>18</v>
      </c>
      <c r="G242" s="5" t="s">
        <v>77</v>
      </c>
      <c r="H242" s="5" t="s">
        <v>2977</v>
      </c>
      <c r="I242" s="5">
        <v>0</v>
      </c>
      <c r="J242" s="6"/>
      <c r="K242" s="5"/>
    </row>
    <row r="243" spans="1:11" ht="19.05" customHeight="1">
      <c r="A243" s="5" t="s">
        <v>2979</v>
      </c>
      <c r="B243" s="5" t="s">
        <v>30</v>
      </c>
      <c r="C243" s="5" t="s">
        <v>4410</v>
      </c>
      <c r="D243" s="5" t="s">
        <v>72</v>
      </c>
      <c r="E243" s="5" t="s">
        <v>14</v>
      </c>
      <c r="F243" s="5" t="s">
        <v>16</v>
      </c>
      <c r="G243" s="5" t="s">
        <v>77</v>
      </c>
      <c r="H243" s="5" t="s">
        <v>919</v>
      </c>
      <c r="I243" s="5">
        <v>0</v>
      </c>
      <c r="J243" s="6"/>
      <c r="K243" s="5"/>
    </row>
    <row r="244" spans="1:11" ht="19.05" customHeight="1">
      <c r="A244" s="5" t="s">
        <v>2991</v>
      </c>
      <c r="B244" s="5" t="s">
        <v>30</v>
      </c>
      <c r="C244" s="5" t="s">
        <v>4411</v>
      </c>
      <c r="D244" s="5" t="s">
        <v>72</v>
      </c>
      <c r="E244" s="5" t="s">
        <v>16</v>
      </c>
      <c r="F244" s="5" t="s">
        <v>18</v>
      </c>
      <c r="G244" s="5" t="s">
        <v>77</v>
      </c>
      <c r="H244" s="5" t="s">
        <v>919</v>
      </c>
      <c r="I244" s="5">
        <v>0</v>
      </c>
      <c r="J244" s="6"/>
      <c r="K244" s="5"/>
    </row>
    <row r="245" spans="1:11" ht="19.05" customHeight="1">
      <c r="A245" s="5" t="s">
        <v>3002</v>
      </c>
      <c r="B245" s="5" t="s">
        <v>30</v>
      </c>
      <c r="C245" s="5" t="s">
        <v>4412</v>
      </c>
      <c r="D245" s="5" t="s">
        <v>72</v>
      </c>
      <c r="E245" s="5" t="s">
        <v>14</v>
      </c>
      <c r="F245" s="5" t="s">
        <v>18</v>
      </c>
      <c r="G245" s="5" t="s">
        <v>77</v>
      </c>
      <c r="H245" s="5" t="s">
        <v>3012</v>
      </c>
      <c r="I245" s="5">
        <v>0</v>
      </c>
      <c r="J245" s="6"/>
      <c r="K245" s="5"/>
    </row>
    <row r="246" spans="1:11" ht="19.05" customHeight="1">
      <c r="A246" s="5" t="s">
        <v>3014</v>
      </c>
      <c r="B246" s="5" t="s">
        <v>30</v>
      </c>
      <c r="C246" s="5" t="s">
        <v>4413</v>
      </c>
      <c r="D246" s="5" t="s">
        <v>72</v>
      </c>
      <c r="E246" s="5" t="s">
        <v>18</v>
      </c>
      <c r="F246" s="5" t="s">
        <v>18</v>
      </c>
      <c r="G246" s="5" t="s">
        <v>77</v>
      </c>
      <c r="H246" s="5" t="s">
        <v>919</v>
      </c>
      <c r="I246" s="5">
        <v>0</v>
      </c>
      <c r="J246" s="6"/>
      <c r="K246" s="5"/>
    </row>
    <row r="247" spans="1:11" ht="19.05" customHeight="1">
      <c r="A247" s="5" t="s">
        <v>3025</v>
      </c>
      <c r="B247" s="5" t="s">
        <v>30</v>
      </c>
      <c r="C247" s="5" t="s">
        <v>4414</v>
      </c>
      <c r="D247" s="5" t="s">
        <v>72</v>
      </c>
      <c r="E247" s="5" t="s">
        <v>16</v>
      </c>
      <c r="F247" s="5" t="s">
        <v>18</v>
      </c>
      <c r="G247" s="5" t="s">
        <v>77</v>
      </c>
      <c r="H247" s="5" t="s">
        <v>3035</v>
      </c>
      <c r="I247" s="5">
        <v>0</v>
      </c>
      <c r="J247" s="6"/>
      <c r="K247" s="5"/>
    </row>
    <row r="248" spans="1:11" ht="19.05" customHeight="1">
      <c r="A248" s="5" t="s">
        <v>3037</v>
      </c>
      <c r="B248" s="5" t="s">
        <v>30</v>
      </c>
      <c r="C248" s="5" t="s">
        <v>4415</v>
      </c>
      <c r="D248" s="5" t="s">
        <v>72</v>
      </c>
      <c r="E248" s="5" t="s">
        <v>16</v>
      </c>
      <c r="F248" s="5" t="s">
        <v>20</v>
      </c>
      <c r="G248" s="5" t="s">
        <v>77</v>
      </c>
      <c r="H248" s="5" t="s">
        <v>3047</v>
      </c>
      <c r="I248" s="5">
        <v>0</v>
      </c>
      <c r="J248" s="6"/>
      <c r="K248" s="5"/>
    </row>
    <row r="249" spans="1:11" ht="19.05" customHeight="1">
      <c r="A249" s="5" t="s">
        <v>3049</v>
      </c>
      <c r="B249" s="5" t="s">
        <v>30</v>
      </c>
      <c r="C249" s="5" t="s">
        <v>4416</v>
      </c>
      <c r="D249" s="5" t="s">
        <v>72</v>
      </c>
      <c r="E249" s="5" t="s">
        <v>18</v>
      </c>
      <c r="F249" s="5" t="s">
        <v>16</v>
      </c>
      <c r="G249" s="5" t="s">
        <v>77</v>
      </c>
      <c r="H249" s="5" t="s">
        <v>919</v>
      </c>
      <c r="I249" s="5">
        <v>0</v>
      </c>
      <c r="J249" s="6"/>
      <c r="K249" s="5"/>
    </row>
    <row r="250" spans="1:11" ht="19.05" customHeight="1">
      <c r="A250" s="5" t="s">
        <v>3060</v>
      </c>
      <c r="B250" s="5" t="s">
        <v>30</v>
      </c>
      <c r="C250" s="5" t="s">
        <v>4417</v>
      </c>
      <c r="D250" s="5" t="s">
        <v>72</v>
      </c>
      <c r="E250" s="5" t="s">
        <v>16</v>
      </c>
      <c r="F250" s="5" t="s">
        <v>18</v>
      </c>
      <c r="G250" s="5" t="s">
        <v>77</v>
      </c>
      <c r="H250" s="5" t="s">
        <v>919</v>
      </c>
      <c r="I250" s="5">
        <v>0</v>
      </c>
      <c r="J250" s="6"/>
      <c r="K250" s="5"/>
    </row>
    <row r="251" spans="1:11" ht="19.05" customHeight="1">
      <c r="A251" s="5" t="s">
        <v>3071</v>
      </c>
      <c r="B251" s="5" t="s">
        <v>30</v>
      </c>
      <c r="C251" s="5" t="s">
        <v>4418</v>
      </c>
      <c r="D251" s="5" t="s">
        <v>72</v>
      </c>
      <c r="E251" s="5" t="s">
        <v>18</v>
      </c>
      <c r="F251" s="5" t="s">
        <v>20</v>
      </c>
      <c r="G251" s="5" t="s">
        <v>77</v>
      </c>
      <c r="H251" s="5" t="s">
        <v>919</v>
      </c>
      <c r="I251" s="5">
        <v>0</v>
      </c>
      <c r="J251" s="6"/>
      <c r="K251" s="5"/>
    </row>
    <row r="252" spans="1:11" ht="19.05" customHeight="1">
      <c r="A252" s="5" t="s">
        <v>3082</v>
      </c>
      <c r="B252" s="5" t="s">
        <v>30</v>
      </c>
      <c r="C252" s="5" t="s">
        <v>4419</v>
      </c>
      <c r="D252" s="5" t="s">
        <v>72</v>
      </c>
      <c r="E252" s="5" t="s">
        <v>14</v>
      </c>
      <c r="F252" s="5" t="s">
        <v>16</v>
      </c>
      <c r="G252" s="5" t="s">
        <v>77</v>
      </c>
      <c r="H252" s="5" t="s">
        <v>3093</v>
      </c>
      <c r="I252" s="5">
        <v>0</v>
      </c>
      <c r="J252" s="6"/>
      <c r="K252" s="5"/>
    </row>
    <row r="253" spans="1:11" ht="19.05" customHeight="1">
      <c r="A253" s="5" t="s">
        <v>3095</v>
      </c>
      <c r="B253" s="5" t="s">
        <v>30</v>
      </c>
      <c r="C253" s="5" t="s">
        <v>4420</v>
      </c>
      <c r="D253" s="5" t="s">
        <v>72</v>
      </c>
      <c r="E253" s="5" t="s">
        <v>14</v>
      </c>
      <c r="F253" s="5" t="s">
        <v>16</v>
      </c>
      <c r="G253" s="5" t="s">
        <v>77</v>
      </c>
      <c r="H253" s="5" t="s">
        <v>3105</v>
      </c>
      <c r="I253" s="5">
        <v>0</v>
      </c>
      <c r="J253" s="6"/>
      <c r="K253" s="5"/>
    </row>
    <row r="254" spans="1:11" ht="19.05" customHeight="1">
      <c r="A254" s="5" t="s">
        <v>3107</v>
      </c>
      <c r="B254" s="5" t="s">
        <v>30</v>
      </c>
      <c r="C254" s="5" t="s">
        <v>4421</v>
      </c>
      <c r="D254" s="5" t="s">
        <v>72</v>
      </c>
      <c r="E254" s="5" t="s">
        <v>22</v>
      </c>
      <c r="F254" s="5" t="s">
        <v>20</v>
      </c>
      <c r="G254" s="5" t="s">
        <v>2790</v>
      </c>
      <c r="H254" s="5" t="s">
        <v>1259</v>
      </c>
      <c r="I254" s="5">
        <v>0</v>
      </c>
      <c r="J254" s="6"/>
      <c r="K254" s="5"/>
    </row>
    <row r="255" spans="1:11" ht="19.05" customHeight="1">
      <c r="A255" s="5" t="s">
        <v>3117</v>
      </c>
      <c r="B255" s="5" t="s">
        <v>30</v>
      </c>
      <c r="C255" s="5" t="s">
        <v>4422</v>
      </c>
      <c r="D255" s="5" t="s">
        <v>72</v>
      </c>
      <c r="E255" s="5" t="s">
        <v>14</v>
      </c>
      <c r="F255" s="5" t="s">
        <v>16</v>
      </c>
      <c r="G255" s="5" t="s">
        <v>77</v>
      </c>
      <c r="H255" s="5" t="s">
        <v>2571</v>
      </c>
      <c r="I255" s="5">
        <v>0</v>
      </c>
      <c r="J255" s="6"/>
      <c r="K255" s="5"/>
    </row>
    <row r="256" spans="1:11" ht="19.05" customHeight="1">
      <c r="A256" s="5" t="s">
        <v>3129</v>
      </c>
      <c r="B256" s="5" t="s">
        <v>30</v>
      </c>
      <c r="C256" s="5" t="s">
        <v>4423</v>
      </c>
      <c r="D256" s="5" t="s">
        <v>72</v>
      </c>
      <c r="E256" s="5" t="s">
        <v>14</v>
      </c>
      <c r="F256" s="5" t="s">
        <v>16</v>
      </c>
      <c r="G256" s="5" t="s">
        <v>77</v>
      </c>
      <c r="H256" s="5" t="s">
        <v>919</v>
      </c>
      <c r="I256" s="5">
        <v>0</v>
      </c>
      <c r="J256" s="6"/>
      <c r="K256" s="5"/>
    </row>
    <row r="257" spans="1:11" ht="19.05" customHeight="1">
      <c r="A257" s="5" t="s">
        <v>3140</v>
      </c>
      <c r="B257" s="5" t="s">
        <v>30</v>
      </c>
      <c r="C257" s="5" t="s">
        <v>4424</v>
      </c>
      <c r="D257" s="5" t="s">
        <v>72</v>
      </c>
      <c r="E257" s="5" t="s">
        <v>14</v>
      </c>
      <c r="F257" s="5" t="s">
        <v>16</v>
      </c>
      <c r="G257" s="5" t="s">
        <v>77</v>
      </c>
      <c r="H257" s="5" t="s">
        <v>919</v>
      </c>
      <c r="I257" s="5">
        <v>0</v>
      </c>
      <c r="J257" s="6"/>
      <c r="K257" s="5"/>
    </row>
    <row r="258" spans="1:11" ht="19.05" customHeight="1">
      <c r="A258" s="5" t="s">
        <v>3151</v>
      </c>
      <c r="B258" s="5" t="s">
        <v>30</v>
      </c>
      <c r="C258" s="5" t="s">
        <v>4425</v>
      </c>
      <c r="D258" s="5" t="s">
        <v>72</v>
      </c>
      <c r="E258" s="5" t="s">
        <v>18</v>
      </c>
      <c r="F258" s="5" t="s">
        <v>18</v>
      </c>
      <c r="G258" s="5" t="s">
        <v>77</v>
      </c>
      <c r="H258" s="5" t="s">
        <v>919</v>
      </c>
      <c r="I258" s="5">
        <v>0</v>
      </c>
      <c r="J258" s="6"/>
      <c r="K258" s="5"/>
    </row>
    <row r="259" spans="1:11" ht="19.05" customHeight="1">
      <c r="A259" s="5" t="s">
        <v>3162</v>
      </c>
      <c r="B259" s="5" t="s">
        <v>30</v>
      </c>
      <c r="C259" s="5" t="s">
        <v>4426</v>
      </c>
      <c r="D259" s="5" t="s">
        <v>72</v>
      </c>
      <c r="E259" s="5" t="s">
        <v>16</v>
      </c>
      <c r="F259" s="5" t="s">
        <v>20</v>
      </c>
      <c r="G259" s="5" t="s">
        <v>77</v>
      </c>
      <c r="H259" s="5" t="s">
        <v>1974</v>
      </c>
      <c r="I259" s="5">
        <v>0</v>
      </c>
      <c r="J259" s="6"/>
      <c r="K259" s="5"/>
    </row>
    <row r="260" spans="1:11" ht="19.05" customHeight="1">
      <c r="A260" s="5" t="s">
        <v>3175</v>
      </c>
      <c r="B260" s="5" t="s">
        <v>30</v>
      </c>
      <c r="C260" s="5" t="s">
        <v>4427</v>
      </c>
      <c r="D260" s="5" t="s">
        <v>72</v>
      </c>
      <c r="E260" s="5" t="s">
        <v>16</v>
      </c>
      <c r="F260" s="5" t="s">
        <v>16</v>
      </c>
      <c r="G260" s="5" t="s">
        <v>77</v>
      </c>
      <c r="H260" s="5" t="s">
        <v>3186</v>
      </c>
      <c r="I260" s="5">
        <v>0</v>
      </c>
      <c r="J260" s="6"/>
      <c r="K260" s="5"/>
    </row>
    <row r="261" spans="1:11" ht="19.05" customHeight="1">
      <c r="A261" s="5" t="s">
        <v>3188</v>
      </c>
      <c r="B261" s="5" t="s">
        <v>30</v>
      </c>
      <c r="C261" s="5" t="s">
        <v>4428</v>
      </c>
      <c r="D261" s="5" t="s">
        <v>72</v>
      </c>
      <c r="E261" s="5" t="s">
        <v>14</v>
      </c>
      <c r="F261" s="5" t="s">
        <v>16</v>
      </c>
      <c r="G261" s="5" t="s">
        <v>77</v>
      </c>
      <c r="H261" s="5" t="s">
        <v>3198</v>
      </c>
      <c r="I261" s="5">
        <v>0</v>
      </c>
      <c r="J261" s="6"/>
      <c r="K261" s="5"/>
    </row>
    <row r="262" spans="1:11" ht="19.05" customHeight="1">
      <c r="A262" s="5" t="s">
        <v>3200</v>
      </c>
      <c r="B262" s="5" t="s">
        <v>30</v>
      </c>
      <c r="C262" s="5" t="s">
        <v>4429</v>
      </c>
      <c r="D262" s="5" t="s">
        <v>72</v>
      </c>
      <c r="E262" s="5" t="s">
        <v>14</v>
      </c>
      <c r="F262" s="5" t="s">
        <v>20</v>
      </c>
      <c r="G262" s="5" t="s">
        <v>59</v>
      </c>
      <c r="H262" s="5" t="s">
        <v>3211</v>
      </c>
      <c r="I262" s="5">
        <v>0</v>
      </c>
      <c r="J262" s="6"/>
      <c r="K262" s="5"/>
    </row>
    <row r="263" spans="1:11" ht="19.05" customHeight="1">
      <c r="A263" s="5" t="s">
        <v>3213</v>
      </c>
      <c r="B263" s="5" t="s">
        <v>30</v>
      </c>
      <c r="C263" s="5" t="s">
        <v>4430</v>
      </c>
      <c r="D263" s="5" t="s">
        <v>72</v>
      </c>
      <c r="E263" s="5" t="s">
        <v>14</v>
      </c>
      <c r="F263" s="5" t="s">
        <v>18</v>
      </c>
      <c r="G263" s="5" t="s">
        <v>77</v>
      </c>
      <c r="H263" s="5" t="s">
        <v>3224</v>
      </c>
      <c r="I263" s="5">
        <v>0</v>
      </c>
      <c r="J263" s="6"/>
      <c r="K263" s="5"/>
    </row>
    <row r="264" spans="1:11" ht="19.05" customHeight="1">
      <c r="A264" s="5" t="s">
        <v>3226</v>
      </c>
      <c r="B264" s="5" t="s">
        <v>30</v>
      </c>
      <c r="C264" s="5" t="s">
        <v>4431</v>
      </c>
      <c r="D264" s="5" t="s">
        <v>72</v>
      </c>
      <c r="E264" s="5" t="s">
        <v>16</v>
      </c>
      <c r="F264" s="5" t="s">
        <v>18</v>
      </c>
      <c r="G264" s="5" t="s">
        <v>77</v>
      </c>
      <c r="H264" s="5" t="s">
        <v>919</v>
      </c>
      <c r="I264" s="5">
        <v>0</v>
      </c>
      <c r="J264" s="6"/>
      <c r="K264" s="5"/>
    </row>
    <row r="265" spans="1:11" ht="19.05" customHeight="1">
      <c r="A265" s="5" t="s">
        <v>3237</v>
      </c>
      <c r="B265" s="5" t="s">
        <v>30</v>
      </c>
      <c r="C265" s="5" t="s">
        <v>4432</v>
      </c>
      <c r="D265" s="5" t="s">
        <v>72</v>
      </c>
      <c r="E265" s="5" t="s">
        <v>16</v>
      </c>
      <c r="F265" s="5" t="s">
        <v>18</v>
      </c>
      <c r="G265" s="5" t="s">
        <v>77</v>
      </c>
      <c r="H265" s="5" t="s">
        <v>919</v>
      </c>
      <c r="I265" s="5">
        <v>0</v>
      </c>
      <c r="J265" s="6"/>
      <c r="K265" s="5"/>
    </row>
  </sheetData>
  <mergeCells count="2">
    <mergeCell ref="A1:K1"/>
    <mergeCell ref="A2:K2"/>
  </mergeCells>
  <phoneticPr fontId="11" type="noConversion"/>
  <conditionalFormatting sqref="D4:D265">
    <cfRule type="expression" dxfId="2" priority="1">
      <formula>D4="已掌握"</formula>
    </cfRule>
    <cfRule type="expression" dxfId="1" priority="2">
      <formula>D4="需复盘"</formula>
    </cfRule>
  </conditionalFormatting>
  <conditionalFormatting sqref="E4:E265">
    <cfRule type="expression" dxfId="0" priority="3">
      <formula>E4="S"</formula>
    </cfRule>
  </conditionalFormatting>
  <dataValidations count="2">
    <dataValidation type="list" sqref="D4:D265" xr:uid="{00000000-0002-0000-0700-000000000000}">
      <formula1>"未开始,学习中,已掌握,需复盘"</formula1>
    </dataValidation>
    <dataValidation sqref="I4:I265" xr:uid="{00000000-0002-0000-0700-000001000000}">
      <formula1>0</formula1>
      <formula2>99</formula2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3.5"/>
  <cols>
    <col min="1" max="1" width="18" customWidth="1"/>
    <col min="2" max="2" width="48" customWidth="1"/>
    <col min="3" max="3" width="62" customWidth="1"/>
    <col min="4" max="4" width="48" customWidth="1"/>
    <col min="5" max="5" width="42" customWidth="1"/>
  </cols>
  <sheetData>
    <row r="1" spans="1:5" ht="15" customHeight="1">
      <c r="A1" s="7" t="s">
        <v>4433</v>
      </c>
      <c r="B1" s="7"/>
      <c r="C1" s="7"/>
      <c r="D1" s="7"/>
      <c r="E1" s="7"/>
    </row>
    <row r="2" spans="1:5" ht="11.55" customHeight="1">
      <c r="A2" s="8" t="s">
        <v>4434</v>
      </c>
      <c r="B2" s="8"/>
      <c r="C2" s="8"/>
      <c r="D2" s="8"/>
      <c r="E2" s="8"/>
    </row>
    <row r="3" spans="1:5">
      <c r="A3" s="1" t="s">
        <v>4435</v>
      </c>
      <c r="B3" s="1" t="s">
        <v>4436</v>
      </c>
      <c r="C3" s="1" t="s">
        <v>4437</v>
      </c>
    </row>
    <row r="4" spans="1:5" ht="23.25">
      <c r="A4" s="5" t="s">
        <v>4438</v>
      </c>
      <c r="B4" s="5" t="s">
        <v>4439</v>
      </c>
      <c r="C4" s="5" t="s">
        <v>4440</v>
      </c>
    </row>
    <row r="5" spans="1:5" ht="23.25">
      <c r="A5" s="5" t="s">
        <v>4441</v>
      </c>
      <c r="B5" s="5" t="s">
        <v>4442</v>
      </c>
      <c r="C5" s="5" t="s">
        <v>4443</v>
      </c>
    </row>
    <row r="6" spans="1:5" ht="23.25">
      <c r="A6" s="5" t="s">
        <v>4444</v>
      </c>
      <c r="B6" s="5" t="s">
        <v>4445</v>
      </c>
      <c r="C6" s="5" t="s">
        <v>4446</v>
      </c>
    </row>
    <row r="7" spans="1:5" ht="23.25">
      <c r="A7" s="5" t="s">
        <v>4447</v>
      </c>
      <c r="B7" s="5" t="s">
        <v>4448</v>
      </c>
      <c r="C7" s="5" t="s">
        <v>4449</v>
      </c>
    </row>
    <row r="8" spans="1:5" ht="23.25">
      <c r="A8" s="5" t="s">
        <v>4450</v>
      </c>
      <c r="B8" s="5" t="s">
        <v>4451</v>
      </c>
      <c r="C8" s="5" t="s">
        <v>4452</v>
      </c>
    </row>
    <row r="9" spans="1:5" ht="23.25">
      <c r="A9" s="5" t="s">
        <v>4453</v>
      </c>
      <c r="B9" s="5" t="s">
        <v>4454</v>
      </c>
      <c r="C9" s="5" t="s">
        <v>4455</v>
      </c>
    </row>
    <row r="12" spans="1:5" ht="15">
      <c r="A12" s="11" t="s">
        <v>4456</v>
      </c>
      <c r="B12" s="11"/>
      <c r="C12" s="11"/>
      <c r="D12" s="11"/>
      <c r="E12" s="11"/>
    </row>
    <row r="13" spans="1:5">
      <c r="A13" s="1" t="s">
        <v>4457</v>
      </c>
      <c r="B13" s="1" t="s">
        <v>4458</v>
      </c>
      <c r="C13" s="1" t="s">
        <v>4459</v>
      </c>
      <c r="D13" s="1" t="s">
        <v>4460</v>
      </c>
      <c r="E13" s="1" t="s">
        <v>4461</v>
      </c>
    </row>
    <row r="14" spans="1:5" ht="23.25">
      <c r="A14" s="5" t="s">
        <v>4462</v>
      </c>
      <c r="B14" s="5" t="s">
        <v>4463</v>
      </c>
      <c r="C14" s="5" t="s">
        <v>4464</v>
      </c>
      <c r="D14" s="5" t="s">
        <v>4465</v>
      </c>
      <c r="E14" s="5" t="s">
        <v>4466</v>
      </c>
    </row>
    <row r="15" spans="1:5" ht="23.25">
      <c r="A15" s="5" t="s">
        <v>4462</v>
      </c>
      <c r="B15" s="5" t="s">
        <v>4467</v>
      </c>
      <c r="C15" s="5" t="s">
        <v>4468</v>
      </c>
      <c r="D15" s="5" t="s">
        <v>4469</v>
      </c>
      <c r="E15" s="5" t="s">
        <v>4466</v>
      </c>
    </row>
    <row r="16" spans="1:5">
      <c r="A16" s="5" t="s">
        <v>4470</v>
      </c>
      <c r="B16" s="5" t="s">
        <v>4471</v>
      </c>
      <c r="C16" s="5" t="s">
        <v>4472</v>
      </c>
      <c r="D16" s="5" t="s">
        <v>4473</v>
      </c>
      <c r="E16" s="5" t="s">
        <v>4474</v>
      </c>
    </row>
    <row r="17" spans="1:5">
      <c r="A17" s="5" t="s">
        <v>4470</v>
      </c>
      <c r="B17" s="5" t="s">
        <v>4475</v>
      </c>
      <c r="C17" s="5" t="s">
        <v>4476</v>
      </c>
      <c r="D17" s="5" t="s">
        <v>4477</v>
      </c>
      <c r="E17" s="5" t="s">
        <v>4478</v>
      </c>
    </row>
    <row r="18" spans="1:5">
      <c r="A18" s="5" t="s">
        <v>4479</v>
      </c>
      <c r="B18" s="5" t="s">
        <v>4480</v>
      </c>
      <c r="C18" s="5" t="s">
        <v>4481</v>
      </c>
      <c r="D18" s="5" t="s">
        <v>4482</v>
      </c>
      <c r="E18" s="5" t="s">
        <v>4483</v>
      </c>
    </row>
    <row r="19" spans="1:5" ht="23.25">
      <c r="A19" s="5" t="s">
        <v>4484</v>
      </c>
      <c r="B19" s="5" t="s">
        <v>4485</v>
      </c>
      <c r="C19" s="5" t="s">
        <v>4486</v>
      </c>
      <c r="D19" s="5" t="s">
        <v>4487</v>
      </c>
      <c r="E19" s="5" t="s">
        <v>4488</v>
      </c>
    </row>
    <row r="20" spans="1:5" ht="23.25">
      <c r="A20" s="5" t="s">
        <v>4484</v>
      </c>
      <c r="B20" s="5" t="s">
        <v>4489</v>
      </c>
      <c r="C20" s="5" t="s">
        <v>4490</v>
      </c>
      <c r="D20" s="5" t="s">
        <v>4491</v>
      </c>
      <c r="E20" s="5" t="s">
        <v>4492</v>
      </c>
    </row>
    <row r="21" spans="1:5">
      <c r="A21" s="5" t="s">
        <v>4493</v>
      </c>
      <c r="B21" s="5" t="s">
        <v>4494</v>
      </c>
      <c r="C21" s="5" t="s">
        <v>4495</v>
      </c>
      <c r="D21" s="5" t="s">
        <v>4496</v>
      </c>
      <c r="E21" s="5" t="s">
        <v>4497</v>
      </c>
    </row>
    <row r="22" spans="1:5">
      <c r="A22" s="5" t="s">
        <v>4493</v>
      </c>
      <c r="B22" s="5" t="s">
        <v>4498</v>
      </c>
      <c r="C22" s="5" t="s">
        <v>4499</v>
      </c>
      <c r="D22" s="5" t="s">
        <v>4500</v>
      </c>
      <c r="E22" s="5" t="s">
        <v>4501</v>
      </c>
    </row>
    <row r="23" spans="1:5">
      <c r="A23" s="5" t="s">
        <v>4502</v>
      </c>
      <c r="B23" s="5" t="s">
        <v>4503</v>
      </c>
      <c r="C23" s="5" t="s">
        <v>4504</v>
      </c>
      <c r="D23" s="5" t="s">
        <v>4505</v>
      </c>
      <c r="E23" s="5" t="s">
        <v>4506</v>
      </c>
    </row>
  </sheetData>
  <mergeCells count="3">
    <mergeCell ref="A1:E1"/>
    <mergeCell ref="A2:E2"/>
    <mergeCell ref="A12:E12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知识点总表</vt:lpstr>
      <vt:lpstr>题型方法库</vt:lpstr>
      <vt:lpstr>考频分析</vt:lpstr>
      <vt:lpstr>年度真题标签</vt:lpstr>
      <vt:lpstr>易混淆对比</vt:lpstr>
      <vt:lpstr>复习阶段</vt:lpstr>
      <vt:lpstr>查漏清单</vt:lpstr>
      <vt:lpstr>来源与边界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Soren Liu</cp:lastModifiedBy>
  <dcterms:modified xsi:type="dcterms:W3CDTF">2026-07-21T07:03:26Z</dcterms:modified>
</cp:coreProperties>
</file>